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3.xml" ContentType="application/vnd.openxmlformats-officedocument.drawing+xml"/>
  <Override PartName="/xl/charts/chart105.xml" ContentType="application/vnd.openxmlformats-officedocument.drawingml.chart+xml"/>
  <Override PartName="/xl/drawings/drawing4.xml" ContentType="application/vnd.openxmlformats-officedocument.drawing+xml"/>
  <Override PartName="/xl/charts/chart10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lo\Desktop\VBA Demo\"/>
    </mc:Choice>
  </mc:AlternateContent>
  <xr:revisionPtr revIDLastSave="0" documentId="13_ncr:1_{312FE5B1-87DF-428A-AB0B-1FD490DE975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puts" sheetId="2" r:id="rId1"/>
    <sheet name="HistoricalData" sheetId="1" r:id="rId2"/>
    <sheet name="Results" sheetId="4" r:id="rId3"/>
    <sheet name="First Simulation Path" sheetId="5" r:id="rId4"/>
    <sheet name="Outcome Histogram" sheetId="6" r:id="rId5"/>
  </sheets>
  <calcPr calcId="191029" iterate="1" iterateDelta="9.8999999999999999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<sst xmlns="http://schemas.openxmlformats.org/spreadsheetml/2006/main" count="92" uniqueCount="82">
  <si>
    <t>Retirement Years</t>
  </si>
  <si>
    <t>Number of Simulations</t>
  </si>
  <si>
    <t>Year</t>
  </si>
  <si>
    <t>S&amp;P 500 total return</t>
  </si>
  <si>
    <t>CPI Inflation Rate</t>
  </si>
  <si>
    <t>Success Rate</t>
  </si>
  <si>
    <t>Successful Simulations</t>
  </si>
  <si>
    <t>5th</t>
  </si>
  <si>
    <t>10th</t>
  </si>
  <si>
    <t>25th</t>
  </si>
  <si>
    <t>50th (Median)</t>
  </si>
  <si>
    <t>75th</t>
  </si>
  <si>
    <t>90th</t>
  </si>
  <si>
    <t>95th</t>
  </si>
  <si>
    <t>US T. Bond</t>
  </si>
  <si>
    <t>Monte Carlo Simulator with Social Security</t>
  </si>
  <si>
    <t>Ending Portfolio Percentiles</t>
  </si>
  <si>
    <t>Avg Ending Portfolio (all)</t>
  </si>
  <si>
    <t>Avg Ending (survivors)</t>
  </si>
  <si>
    <t>Portfolio Balance</t>
  </si>
  <si>
    <t>10M+</t>
  </si>
  <si>
    <t>Range</t>
  </si>
  <si>
    <t>0 - 1000000</t>
  </si>
  <si>
    <t>1000000 - 2000000</t>
  </si>
  <si>
    <t>2000000 - 3000000</t>
  </si>
  <si>
    <t>3000000 - 4000000</t>
  </si>
  <si>
    <t>4000000 - 5000000</t>
  </si>
  <si>
    <t>5000000 - 6000000</t>
  </si>
  <si>
    <t>6000000 - 7000000</t>
  </si>
  <si>
    <t>7000000 - 8000000</t>
  </si>
  <si>
    <t>8000000 - 9000000</t>
  </si>
  <si>
    <t>9000000 - 10000000</t>
  </si>
  <si>
    <t>Metric</t>
  </si>
  <si>
    <t>Value</t>
  </si>
  <si>
    <t>Median Ending Balance</t>
  </si>
  <si>
    <t>5th Percentile (Worst Case)</t>
  </si>
  <si>
    <t>Average Ending Balance</t>
  </si>
  <si>
    <t>SIMULATION RESULTS</t>
  </si>
  <si>
    <t>Success Rate:</t>
  </si>
  <si>
    <t>Successful Simulations:</t>
  </si>
  <si>
    <t>Avg Ending Portfolio (All):</t>
  </si>
  <si>
    <t>Avg Ending (Survivors):</t>
  </si>
  <si>
    <t>ENDING PORTFOLIO PERCENTILES</t>
  </si>
  <si>
    <t>MONTE CARLO RETIREMENT SIMULATOR</t>
  </si>
  <si>
    <t>This is a Monte Carlo Retirement Simulator.</t>
  </si>
  <si>
    <t xml:space="preserve">Monte Carlo simulation uses a large number of </t>
  </si>
  <si>
    <t>randomized trials to model a range of possible outcomes.</t>
  </si>
  <si>
    <t>To use the simulator, click the "Run Simulation" button.</t>
  </si>
  <si>
    <t>Modify the values as desired and click run.</t>
  </si>
  <si>
    <t>Basic simulation results data will be displayed to the right,</t>
  </si>
  <si>
    <t>such as the success rate (percent of simulations that never</t>
  </si>
  <si>
    <t>as key percentiles.</t>
  </si>
  <si>
    <t xml:space="preserve">Three charts will be displayed below.  Chart 1 displays the </t>
  </si>
  <si>
    <t xml:space="preserve">key outcomes: an average outcome and a worst-case </t>
  </si>
  <si>
    <t>scenario outcome.</t>
  </si>
  <si>
    <t xml:space="preserve">Chart 2 displays the value of one portfolio over time as a </t>
  </si>
  <si>
    <t xml:space="preserve">sample of the simulations being run. </t>
  </si>
  <si>
    <t>Chart 3 displays a histogram modeling the overall frequency</t>
  </si>
  <si>
    <t>of various results. A.K.A the Big Picture</t>
  </si>
  <si>
    <t>Explanation</t>
  </si>
  <si>
    <t>Initial Portfolio</t>
  </si>
  <si>
    <t>LATEST SIMULATION VALUES</t>
  </si>
  <si>
    <t>Initial Withdrawal</t>
  </si>
  <si>
    <t>Stock Allocation</t>
  </si>
  <si>
    <t>Annual Fees</t>
  </si>
  <si>
    <t>Block Size</t>
  </si>
  <si>
    <t>Use Block Bootstrapping</t>
  </si>
  <si>
    <t>Yes</t>
  </si>
  <si>
    <t>Social Security Amount</t>
  </si>
  <si>
    <t>SS Start Year</t>
  </si>
  <si>
    <t>Years you expect to be retired</t>
  </si>
  <si>
    <t>Starting $</t>
  </si>
  <si>
    <t>Withdrawal in $ per year</t>
  </si>
  <si>
    <t>Number of randomized trials</t>
  </si>
  <si>
    <t>Percent of portfolio that is stocks (higher risk)</t>
  </si>
  <si>
    <t>Fees</t>
  </si>
  <si>
    <t>Block of years used for sampling</t>
  </si>
  <si>
    <t>Use blocks or just 1 year at a time</t>
  </si>
  <si>
    <t>How much you will get per year</t>
  </si>
  <si>
    <t>When into retirement you will get it</t>
  </si>
  <si>
    <t>went to $0), and the average ending portfolio value, as well</t>
  </si>
  <si>
    <t>9267 / 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</si>
</sst>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1-45BD-BA5B-D87D4069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137424"/>
        <c:axId val="2133136464"/>
      </c:barChart>
      <c:catAx>
        <c:axId val="213313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3136464"/>
        <c:crosses val="autoZero"/>
        <c:auto val="1"/>
        <c:lblAlgn val="ctr"/>
        <c:lblOffset val="100"/>
        <c:noMultiLvlLbl val="0"/>
      </c:catAx>
      <c:valAx>
        <c:axId val="2133136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313742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Path - First Simulation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'First Simulation Path'!$A$1</c:f>
              <c:strCache>
                <c:ptCount val="1"/>
                <c:pt idx="0">
                  <c:v>Year</c:v>
                </c:pt>
              </c:strCache>
            </c:strRef>
          </c:tx>
          <c:marker>
            <c:symbol val="none"/>
          </c:marker>
          <c:val>
            <c:numRef>
              <c:f>'First Simulation Path'!$A$2:$A$32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DD-408C-A0AD-F4DC741EE5AF}"/>
            </c:ext>
          </c:extLst>
        </c:ser>
        <c:ser>
          <c:idx val="1"/>
          <c:order val="1"/>
          <c:tx>
            <c:strRef>
              <c:f>'First Simulation Path'!$B$1</c:f>
              <c:strCache>
                <c:ptCount val="1"/>
                <c:pt idx="0">
                  <c:v>Portfolio Balance</c:v>
                </c:pt>
              </c:strCache>
            </c:strRef>
          </c:tx>
          <c:marker>
            <c:symbol val="none"/>
          </c:marker>
          <c:val>
            <c:numRef>
              <c:f>'First Simulation Path'!$B$2:$B$32</c:f>
              <c:numCache>
                <c:formatCode>"$"#,##0</c:formatCode>
                <c:ptCount val="31"/>
                <c:pt idx="0">
                  <c:v>800000</c:v>
                </c:pt>
                <c:pt idx="1">
                  <c:v>715304.52912779688</c:v>
                </c:pt>
                <c:pt idx="2">
                  <c:v>619811.34133718116</c:v>
                </c:pt>
                <c:pt idx="3">
                  <c:v>671687.17741360434</c:v>
                </c:pt>
                <c:pt idx="4">
                  <c:v>674894.28837928758</c:v>
                </c:pt>
                <c:pt idx="5">
                  <c:v>650382.63525977253</c:v>
                </c:pt>
                <c:pt idx="6">
                  <c:v>752749.52791818965</c:v>
                </c:pt>
                <c:pt idx="7">
                  <c:v>743285.54532223695</c:v>
                </c:pt>
                <c:pt idx="8">
                  <c:v>723318.3205515095</c:v>
                </c:pt>
                <c:pt idx="9">
                  <c:v>782677.80878312048</c:v>
                </c:pt>
                <c:pt idx="10">
                  <c:v>729420.24776601093</c:v>
                </c:pt>
                <c:pt idx="11">
                  <c:v>684647.89583664283</c:v>
                </c:pt>
                <c:pt idx="12">
                  <c:v>864762.64831708034</c:v>
                </c:pt>
                <c:pt idx="13">
                  <c:v>859604.45946648088</c:v>
                </c:pt>
                <c:pt idx="14">
                  <c:v>1086422.0058399802</c:v>
                </c:pt>
                <c:pt idx="15">
                  <c:v>1282864.562296683</c:v>
                </c:pt>
                <c:pt idx="16">
                  <c:v>1213833.5038806964</c:v>
                </c:pt>
                <c:pt idx="17">
                  <c:v>1241432.3803121629</c:v>
                </c:pt>
                <c:pt idx="18">
                  <c:v>1370292.8407301519</c:v>
                </c:pt>
                <c:pt idx="19">
                  <c:v>1601122.090046721</c:v>
                </c:pt>
                <c:pt idx="20">
                  <c:v>1582408.6727504814</c:v>
                </c:pt>
                <c:pt idx="21">
                  <c:v>1207750.4041344055</c:v>
                </c:pt>
                <c:pt idx="22">
                  <c:v>1358080.3239958221</c:v>
                </c:pt>
                <c:pt idx="23">
                  <c:v>1309469.9923587784</c:v>
                </c:pt>
                <c:pt idx="24">
                  <c:v>1195919.9124420357</c:v>
                </c:pt>
                <c:pt idx="25">
                  <c:v>1082645.3396738612</c:v>
                </c:pt>
                <c:pt idx="26">
                  <c:v>912176.03221916151</c:v>
                </c:pt>
                <c:pt idx="27">
                  <c:v>1100159.327496591</c:v>
                </c:pt>
                <c:pt idx="28">
                  <c:v>1267773.9779577439</c:v>
                </c:pt>
                <c:pt idx="29">
                  <c:v>1190553.7312343034</c:v>
                </c:pt>
                <c:pt idx="30">
                  <c:v>1221443.1010433503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DD-408C-A0AD-F4DC741EE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797952"/>
        <c:axId val="1994794592"/>
      </c:lineChart>
      <c:catAx>
        <c:axId val="199479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majorTickMark val="out"/>
        <c:minorTickMark val="none"/>
        <c:tickLblPos val="nextTo"/>
        <c:crossAx val="1994794592"/>
        <c:crosses val="autoZero"/>
        <c:auto val="1"/>
        <c:lblAlgn val="ctr"/>
        <c:lblOffset val="100"/>
        <c:noMultiLvlLbl val="0"/>
      </c:catAx>
      <c:valAx>
        <c:axId val="1994794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4797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Distribution of Ending Portfolios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'Outcome Histogram'!$B$1</c:f>
              <c:strCache>
                <c:ptCount val="1"/>
                <c:pt idx="0">
                  <c:v>Number of Simulations</c:v>
                </c:pt>
              </c:strCache>
            </c:strRef>
          </c:tx>
          <c:invertIfNegative val="0"/>
          <c:cat>
            <c:strRef>
              <c:f>'Outcome Histogram'!$A$2:$A$12</c:f>
              <c:strCache>
                <c:ptCount val="11"/>
                <c:pt idx="0">
                  <c:v>0 - 1000000</c:v>
                </c:pt>
                <c:pt idx="1">
                  <c:v>1000000 - 2000000</c:v>
                </c:pt>
                <c:pt idx="2">
                  <c:v>2000000 - 3000000</c:v>
                </c:pt>
                <c:pt idx="3">
                  <c:v>3000000 - 4000000</c:v>
                </c:pt>
                <c:pt idx="4">
                  <c:v>4000000 - 5000000</c:v>
                </c:pt>
                <c:pt idx="5">
                  <c:v>5000000 - 6000000</c:v>
                </c:pt>
                <c:pt idx="6">
                  <c:v>6000000 - 7000000</c:v>
                </c:pt>
                <c:pt idx="7">
                  <c:v>7000000 - 8000000</c:v>
                </c:pt>
                <c:pt idx="8">
                  <c:v>8000000 - 9000000</c:v>
                </c:pt>
                <c:pt idx="9">
                  <c:v>9000000 - 10000000</c:v>
                </c:pt>
                <c:pt idx="10">
                  <c:v>10M+</c:v>
                </c:pt>
              </c:strCache>
            </c:strRef>
          </c:cat>
          <c:val>
            <c:numRef>
              <c:f>'Outcome Histogram'!$B$2:$B$12</c:f>
              <c:numCache>
                <c:formatCode>General</c:formatCode>
                <c:ptCount val="11"/>
                <c:pt idx="0">
                  <c:v>2422</c:v>
                </c:pt>
                <c:pt idx="1">
                  <c:v>2057</c:v>
                </c:pt>
                <c:pt idx="2">
                  <c:v>1644</c:v>
                </c:pt>
                <c:pt idx="3">
                  <c:v>1236</c:v>
                </c:pt>
                <c:pt idx="4">
                  <c:v>872</c:v>
                </c:pt>
                <c:pt idx="5">
                  <c:v>561</c:v>
                </c:pt>
                <c:pt idx="6">
                  <c:v>364</c:v>
                </c:pt>
                <c:pt idx="7">
                  <c:v>270</c:v>
                </c:pt>
                <c:pt idx="8">
                  <c:v>187</c:v>
                </c:pt>
                <c:pt idx="9">
                  <c:v>113</c:v>
                </c:pt>
                <c:pt idx="10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68-438B-B19C-70444E8A3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4795552"/>
        <c:axId val="1994796032"/>
      </c:barChart>
      <c:catAx>
        <c:axId val="1994795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Ending Value Range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4796032"/>
        <c:crosses val="autoZero"/>
        <c:auto val="1"/>
        <c:lblAlgn val="ctr"/>
        <c:lblOffset val="100"/>
        <c:noMultiLvlLbl val="0"/>
      </c:catAx>
      <c:valAx>
        <c:axId val="1994796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Simulations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47955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Results!$D$9:$D$12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Results!$E$9:$E$12</c:f>
              <c:numCache>
                <c:formatCode>General</c:formatCode>
                <c:ptCount val="4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CB-42C5-92F5-3217F3F6E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3194303"/>
        <c:axId val="2103192863"/>
      </c:barChart>
      <c:catAx>
        <c:axId val="2103194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192863"/>
        <c:crosses val="autoZero"/>
        <c:auto val="1"/>
        <c:lblAlgn val="ctr"/>
        <c:lblOffset val="100"/>
        <c:noMultiLvlLbl val="0"/>
      </c:catAx>
      <c:valAx>
        <c:axId val="21031928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31943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Results!$D$9:$D$12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Results!$E$9:$E$12</c:f>
              <c:numCache>
                <c:formatCode>General</c:formatCode>
                <c:ptCount val="4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2F-46EE-BCAD-5AD6F9FDA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7824399"/>
        <c:axId val="1227823439"/>
      </c:barChart>
      <c:catAx>
        <c:axId val="1227824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7823439"/>
        <c:crosses val="autoZero"/>
        <c:auto val="1"/>
        <c:lblAlgn val="ctr"/>
        <c:lblOffset val="100"/>
        <c:noMultiLvlLbl val="0"/>
      </c:catAx>
      <c:valAx>
        <c:axId val="1227823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78243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99-4F76-942D-E69B8C1CC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08799"/>
        <c:axId val="34405439"/>
      </c:barChart>
      <c:catAx>
        <c:axId val="34408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405439"/>
        <c:crosses val="autoZero"/>
        <c:auto val="1"/>
        <c:lblAlgn val="ctr"/>
        <c:lblOffset val="100"/>
        <c:noMultiLvlLbl val="0"/>
      </c:catAx>
      <c:valAx>
        <c:axId val="34405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408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D-4146-A0D8-FEFDA832E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704576"/>
        <c:axId val="132706496"/>
      </c:barChart>
      <c:catAx>
        <c:axId val="13270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706496"/>
        <c:crosses val="autoZero"/>
        <c:auto val="1"/>
        <c:lblAlgn val="ctr"/>
        <c:lblOffset val="100"/>
        <c:noMultiLvlLbl val="0"/>
      </c:catAx>
      <c:valAx>
        <c:axId val="132706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70457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C0-4860-BCAC-3B4F1EF41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874064"/>
        <c:axId val="121874544"/>
      </c:barChart>
      <c:catAx>
        <c:axId val="12187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874544"/>
        <c:crosses val="autoZero"/>
        <c:auto val="1"/>
        <c:lblAlgn val="ctr"/>
        <c:lblOffset val="100"/>
        <c:noMultiLvlLbl val="0"/>
      </c:catAx>
      <c:valAx>
        <c:axId val="121874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87406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6-48EC-96D4-63433DA20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0884032"/>
        <c:axId val="199033360"/>
      </c:barChart>
      <c:catAx>
        <c:axId val="199088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9033360"/>
        <c:crosses val="autoZero"/>
        <c:auto val="1"/>
        <c:lblAlgn val="ctr"/>
        <c:lblOffset val="100"/>
        <c:noMultiLvlLbl val="0"/>
      </c:catAx>
      <c:valAx>
        <c:axId val="199033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8840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D-4866-9376-901DC6D0D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723375"/>
        <c:axId val="285647439"/>
      </c:barChart>
      <c:catAx>
        <c:axId val="2057723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647439"/>
        <c:crosses val="autoZero"/>
        <c:auto val="1"/>
        <c:lblAlgn val="ctr"/>
        <c:lblOffset val="100"/>
        <c:noMultiLvlLbl val="0"/>
      </c:catAx>
      <c:valAx>
        <c:axId val="285647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7723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9-4C01-8A02-1213E4583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1503"/>
        <c:axId val="2057110063"/>
      </c:barChart>
      <c:catAx>
        <c:axId val="2057111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7110063"/>
        <c:crosses val="autoZero"/>
        <c:auto val="1"/>
        <c:lblAlgn val="ctr"/>
        <c:lblOffset val="100"/>
        <c:noMultiLvlLbl val="0"/>
      </c:catAx>
      <c:valAx>
        <c:axId val="2057110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71115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8-48A9-9D2E-3D196FC38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585983"/>
        <c:axId val="287588383"/>
      </c:barChart>
      <c:catAx>
        <c:axId val="2875859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7588383"/>
        <c:crosses val="autoZero"/>
        <c:auto val="1"/>
        <c:lblAlgn val="ctr"/>
        <c:lblOffset val="100"/>
        <c:noMultiLvlLbl val="0"/>
      </c:catAx>
      <c:valAx>
        <c:axId val="287588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5859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9C-474F-AD83-079F77B30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574463"/>
        <c:axId val="287591263"/>
      </c:barChart>
      <c:catAx>
        <c:axId val="287574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7591263"/>
        <c:crosses val="autoZero"/>
        <c:auto val="1"/>
        <c:lblAlgn val="ctr"/>
        <c:lblOffset val="100"/>
        <c:noMultiLvlLbl val="0"/>
      </c:catAx>
      <c:valAx>
        <c:axId val="2875912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5744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3E-4433-99D1-5EC762B0C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770239"/>
        <c:axId val="1499771679"/>
      </c:barChart>
      <c:catAx>
        <c:axId val="149977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9771679"/>
        <c:crosses val="autoZero"/>
        <c:auto val="1"/>
        <c:lblAlgn val="ctr"/>
        <c:lblOffset val="100"/>
        <c:noMultiLvlLbl val="0"/>
      </c:catAx>
      <c:valAx>
        <c:axId val="1499771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9770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F86-B5F0-927A423D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785376"/>
        <c:axId val="1088785856"/>
      </c:barChart>
      <c:catAx>
        <c:axId val="108878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8785856"/>
        <c:crosses val="autoZero"/>
        <c:auto val="1"/>
        <c:lblAlgn val="ctr"/>
        <c:lblOffset val="100"/>
        <c:noMultiLvlLbl val="0"/>
      </c:catAx>
      <c:valAx>
        <c:axId val="1088785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878537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4-45BE-B4E3-2AA3EA100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906224"/>
        <c:axId val="1296898544"/>
      </c:barChart>
      <c:catAx>
        <c:axId val="129690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6898544"/>
        <c:crosses val="autoZero"/>
        <c:auto val="1"/>
        <c:lblAlgn val="ctr"/>
        <c:lblOffset val="100"/>
        <c:noMultiLvlLbl val="0"/>
      </c:catAx>
      <c:valAx>
        <c:axId val="129689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690622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1-477D-B91D-2352B01BB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940304"/>
        <c:axId val="1296934544"/>
      </c:barChart>
      <c:catAx>
        <c:axId val="129694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6934544"/>
        <c:crosses val="autoZero"/>
        <c:auto val="1"/>
        <c:lblAlgn val="ctr"/>
        <c:lblOffset val="100"/>
        <c:noMultiLvlLbl val="0"/>
      </c:catAx>
      <c:valAx>
        <c:axId val="1296934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694030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5-450C-907E-930C496EC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280992"/>
        <c:axId val="278277632"/>
      </c:barChart>
      <c:catAx>
        <c:axId val="27828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277632"/>
        <c:crosses val="autoZero"/>
        <c:auto val="1"/>
        <c:lblAlgn val="ctr"/>
        <c:lblOffset val="100"/>
        <c:noMultiLvlLbl val="0"/>
      </c:catAx>
      <c:valAx>
        <c:axId val="27827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2809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82-4AA3-999E-D34958530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020272"/>
        <c:axId val="216021232"/>
      </c:barChart>
      <c:catAx>
        <c:axId val="21602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6021232"/>
        <c:crosses val="autoZero"/>
        <c:auto val="1"/>
        <c:lblAlgn val="ctr"/>
        <c:lblOffset val="100"/>
        <c:noMultiLvlLbl val="0"/>
      </c:catAx>
      <c:valAx>
        <c:axId val="216021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0202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FC-414F-90A1-2A43F75B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1091536"/>
        <c:axId val="1481092496"/>
      </c:barChart>
      <c:catAx>
        <c:axId val="148109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092496"/>
        <c:crosses val="autoZero"/>
        <c:auto val="1"/>
        <c:lblAlgn val="ctr"/>
        <c:lblOffset val="100"/>
        <c:noMultiLvlLbl val="0"/>
      </c:catAx>
      <c:valAx>
        <c:axId val="1481092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10915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4-4BAE-A8ED-909869F0D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860944"/>
        <c:axId val="334861904"/>
      </c:barChart>
      <c:catAx>
        <c:axId val="33486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861904"/>
        <c:crosses val="autoZero"/>
        <c:auto val="1"/>
        <c:lblAlgn val="ctr"/>
        <c:lblOffset val="100"/>
        <c:noMultiLvlLbl val="0"/>
      </c:catAx>
      <c:valAx>
        <c:axId val="33486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486094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BF-4913-8683-03BC7162C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215152"/>
        <c:axId val="336213712"/>
      </c:barChart>
      <c:catAx>
        <c:axId val="3362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213712"/>
        <c:crosses val="autoZero"/>
        <c:auto val="1"/>
        <c:lblAlgn val="ctr"/>
        <c:lblOffset val="100"/>
        <c:noMultiLvlLbl val="0"/>
      </c:catAx>
      <c:valAx>
        <c:axId val="336213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62151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B-43D2-910E-37374D045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623328"/>
        <c:axId val="338624288"/>
      </c:barChart>
      <c:catAx>
        <c:axId val="33862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624288"/>
        <c:crosses val="autoZero"/>
        <c:auto val="1"/>
        <c:lblAlgn val="ctr"/>
        <c:lblOffset val="100"/>
        <c:noMultiLvlLbl val="0"/>
      </c:catAx>
      <c:valAx>
        <c:axId val="338624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862332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8E-497D-BB8A-272B07933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071904"/>
        <c:axId val="340088704"/>
      </c:barChart>
      <c:catAx>
        <c:axId val="3400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0088704"/>
        <c:crosses val="autoZero"/>
        <c:auto val="1"/>
        <c:lblAlgn val="ctr"/>
        <c:lblOffset val="100"/>
        <c:noMultiLvlLbl val="0"/>
      </c:catAx>
      <c:valAx>
        <c:axId val="340088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007190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C-4D70-BF16-D71C16CDE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794400"/>
        <c:axId val="663788640"/>
      </c:barChart>
      <c:catAx>
        <c:axId val="66379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3788640"/>
        <c:crosses val="autoZero"/>
        <c:auto val="1"/>
        <c:lblAlgn val="ctr"/>
        <c:lblOffset val="100"/>
        <c:noMultiLvlLbl val="0"/>
      </c:catAx>
      <c:valAx>
        <c:axId val="663788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37944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A-454B-A4E1-E395BA1A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760320"/>
        <c:axId val="663763680"/>
      </c:barChart>
      <c:catAx>
        <c:axId val="6637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3763680"/>
        <c:crosses val="autoZero"/>
        <c:auto val="1"/>
        <c:lblAlgn val="ctr"/>
        <c:lblOffset val="100"/>
        <c:noMultiLvlLbl val="0"/>
      </c:catAx>
      <c:valAx>
        <c:axId val="66376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37603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A-4F68-847C-4BD35CE2B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745152"/>
        <c:axId val="1145737952"/>
      </c:barChart>
      <c:catAx>
        <c:axId val="114574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737952"/>
        <c:crosses val="autoZero"/>
        <c:auto val="1"/>
        <c:lblAlgn val="ctr"/>
        <c:lblOffset val="100"/>
        <c:noMultiLvlLbl val="0"/>
      </c:catAx>
      <c:valAx>
        <c:axId val="1145737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7451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5-406B-8216-0A472206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750912"/>
        <c:axId val="1145749472"/>
      </c:barChart>
      <c:catAx>
        <c:axId val="114575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749472"/>
        <c:crosses val="autoZero"/>
        <c:auto val="1"/>
        <c:lblAlgn val="ctr"/>
        <c:lblOffset val="100"/>
        <c:noMultiLvlLbl val="0"/>
      </c:catAx>
      <c:valAx>
        <c:axId val="1145749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7509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C4-4335-BBD3-41416106D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748512"/>
        <c:axId val="1145748992"/>
      </c:barChart>
      <c:catAx>
        <c:axId val="114574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748992"/>
        <c:crosses val="autoZero"/>
        <c:auto val="1"/>
        <c:lblAlgn val="ctr"/>
        <c:lblOffset val="100"/>
        <c:noMultiLvlLbl val="0"/>
      </c:catAx>
      <c:valAx>
        <c:axId val="114574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7485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C-47C2-81D5-1DF5A86C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746592"/>
        <c:axId val="1145638592"/>
      </c:barChart>
      <c:catAx>
        <c:axId val="114574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38592"/>
        <c:crosses val="autoZero"/>
        <c:auto val="1"/>
        <c:lblAlgn val="ctr"/>
        <c:lblOffset val="100"/>
        <c:noMultiLvlLbl val="0"/>
      </c:catAx>
      <c:valAx>
        <c:axId val="1145638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7465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44-4D09-B48B-549DF0D71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24192"/>
        <c:axId val="1145623712"/>
      </c:barChart>
      <c:catAx>
        <c:axId val="114562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23712"/>
        <c:crosses val="autoZero"/>
        <c:auto val="1"/>
        <c:lblAlgn val="ctr"/>
        <c:lblOffset val="100"/>
        <c:noMultiLvlLbl val="0"/>
      </c:catAx>
      <c:valAx>
        <c:axId val="1145623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241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D-4885-80AE-EDD11D475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23232"/>
        <c:axId val="1145642432"/>
      </c:barChart>
      <c:catAx>
        <c:axId val="114562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42432"/>
        <c:crosses val="autoZero"/>
        <c:auto val="1"/>
        <c:lblAlgn val="ctr"/>
        <c:lblOffset val="100"/>
        <c:noMultiLvlLbl val="0"/>
      </c:catAx>
      <c:valAx>
        <c:axId val="1145642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232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1-4107-9AD5-B035BD75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36672"/>
        <c:axId val="1145648192"/>
      </c:barChart>
      <c:catAx>
        <c:axId val="11456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48192"/>
        <c:crosses val="autoZero"/>
        <c:auto val="1"/>
        <c:lblAlgn val="ctr"/>
        <c:lblOffset val="100"/>
        <c:noMultiLvlLbl val="0"/>
      </c:catAx>
      <c:valAx>
        <c:axId val="114564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366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54-4411-AEE5-C6E2E8097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34272"/>
        <c:axId val="1145638112"/>
      </c:barChart>
      <c:catAx>
        <c:axId val="114563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38112"/>
        <c:crosses val="autoZero"/>
        <c:auto val="1"/>
        <c:lblAlgn val="ctr"/>
        <c:lblOffset val="100"/>
        <c:noMultiLvlLbl val="0"/>
      </c:catAx>
      <c:valAx>
        <c:axId val="1145638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342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D-4F93-AAB0-D29DF64D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58752"/>
        <c:axId val="1145661152"/>
      </c:barChart>
      <c:catAx>
        <c:axId val="114565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61152"/>
        <c:crosses val="autoZero"/>
        <c:auto val="1"/>
        <c:lblAlgn val="ctr"/>
        <c:lblOffset val="100"/>
        <c:noMultiLvlLbl val="0"/>
      </c:catAx>
      <c:valAx>
        <c:axId val="114566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587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9-45E6-BBF7-0CAF32D79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55872"/>
        <c:axId val="1145662112"/>
      </c:barChart>
      <c:catAx>
        <c:axId val="114565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62112"/>
        <c:crosses val="autoZero"/>
        <c:auto val="1"/>
        <c:lblAlgn val="ctr"/>
        <c:lblOffset val="100"/>
        <c:noMultiLvlLbl val="0"/>
      </c:catAx>
      <c:valAx>
        <c:axId val="1145662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558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4-4B9B-9EAD-CC8078BAD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26112"/>
        <c:axId val="1145643392"/>
      </c:barChart>
      <c:catAx>
        <c:axId val="114562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43392"/>
        <c:crosses val="autoZero"/>
        <c:auto val="1"/>
        <c:lblAlgn val="ctr"/>
        <c:lblOffset val="100"/>
        <c:noMultiLvlLbl val="0"/>
      </c:catAx>
      <c:valAx>
        <c:axId val="114564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261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4A-40CB-8AA1-4386EBB5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46752"/>
        <c:axId val="1145630432"/>
      </c:barChart>
      <c:catAx>
        <c:axId val="114564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30432"/>
        <c:crosses val="autoZero"/>
        <c:auto val="1"/>
        <c:lblAlgn val="ctr"/>
        <c:lblOffset val="100"/>
        <c:noMultiLvlLbl val="0"/>
      </c:catAx>
      <c:valAx>
        <c:axId val="1145630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467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82-4F90-A584-AD9351FFA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53952"/>
        <c:axId val="1145660672"/>
      </c:barChart>
      <c:catAx>
        <c:axId val="114565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60672"/>
        <c:crosses val="autoZero"/>
        <c:auto val="1"/>
        <c:lblAlgn val="ctr"/>
        <c:lblOffset val="100"/>
        <c:noMultiLvlLbl val="0"/>
      </c:catAx>
      <c:valAx>
        <c:axId val="1145660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53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D7-4C95-93F2-444238730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50112"/>
        <c:axId val="1145651072"/>
      </c:barChart>
      <c:catAx>
        <c:axId val="114565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51072"/>
        <c:crosses val="autoZero"/>
        <c:auto val="1"/>
        <c:lblAlgn val="ctr"/>
        <c:lblOffset val="100"/>
        <c:noMultiLvlLbl val="0"/>
      </c:catAx>
      <c:valAx>
        <c:axId val="1145651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501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0-41D1-9B67-CF48271AE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47712"/>
        <c:axId val="1145652992"/>
      </c:barChart>
      <c:catAx>
        <c:axId val="114564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52992"/>
        <c:crosses val="autoZero"/>
        <c:auto val="1"/>
        <c:lblAlgn val="ctr"/>
        <c:lblOffset val="100"/>
        <c:noMultiLvlLbl val="0"/>
      </c:catAx>
      <c:valAx>
        <c:axId val="114565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477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0-450C-B771-FEC9F849E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24672"/>
        <c:axId val="1145628512"/>
      </c:barChart>
      <c:catAx>
        <c:axId val="114562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28512"/>
        <c:crosses val="autoZero"/>
        <c:auto val="1"/>
        <c:lblAlgn val="ctr"/>
        <c:lblOffset val="100"/>
        <c:noMultiLvlLbl val="0"/>
      </c:catAx>
      <c:valAx>
        <c:axId val="1145628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2467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684-B82E-CD27A2227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37632"/>
        <c:axId val="1145639552"/>
      </c:barChart>
      <c:catAx>
        <c:axId val="114563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39552"/>
        <c:crosses val="autoZero"/>
        <c:auto val="1"/>
        <c:lblAlgn val="ctr"/>
        <c:lblOffset val="100"/>
        <c:noMultiLvlLbl val="0"/>
      </c:catAx>
      <c:valAx>
        <c:axId val="1145639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376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E0-467A-92A6-66A09D0E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700512"/>
        <c:axId val="1145694272"/>
      </c:barChart>
      <c:catAx>
        <c:axId val="11457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94272"/>
        <c:crosses val="autoZero"/>
        <c:auto val="1"/>
        <c:lblAlgn val="ctr"/>
        <c:lblOffset val="100"/>
        <c:noMultiLvlLbl val="0"/>
      </c:catAx>
      <c:valAx>
        <c:axId val="114569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70051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5-43D4-91B6-9122716F2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71232"/>
        <c:axId val="1145664992"/>
      </c:barChart>
      <c:catAx>
        <c:axId val="114567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664992"/>
        <c:crosses val="autoZero"/>
        <c:auto val="1"/>
        <c:lblAlgn val="ctr"/>
        <c:lblOffset val="100"/>
        <c:noMultiLvlLbl val="0"/>
      </c:catAx>
      <c:valAx>
        <c:axId val="1145664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456712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C2-4794-AF3B-85AD7A958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4892239"/>
        <c:axId val="1234889359"/>
      </c:barChart>
      <c:catAx>
        <c:axId val="123489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34889359"/>
        <c:crosses val="autoZero"/>
        <c:auto val="1"/>
        <c:lblAlgn val="ctr"/>
        <c:lblOffset val="100"/>
        <c:noMultiLvlLbl val="0"/>
      </c:catAx>
      <c:valAx>
        <c:axId val="123488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48922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1-43FA-A84F-82D59C61B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474288"/>
        <c:axId val="1615471408"/>
      </c:barChart>
      <c:catAx>
        <c:axId val="161547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5471408"/>
        <c:crosses val="autoZero"/>
        <c:auto val="1"/>
        <c:lblAlgn val="ctr"/>
        <c:lblOffset val="100"/>
        <c:noMultiLvlLbl val="0"/>
      </c:catAx>
      <c:valAx>
        <c:axId val="1615471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54742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D-494C-8838-06F92E0CA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2434720"/>
        <c:axId val="1752432800"/>
      </c:barChart>
      <c:catAx>
        <c:axId val="175243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2432800"/>
        <c:crosses val="autoZero"/>
        <c:auto val="1"/>
        <c:lblAlgn val="ctr"/>
        <c:lblOffset val="100"/>
        <c:noMultiLvlLbl val="0"/>
      </c:catAx>
      <c:valAx>
        <c:axId val="1752432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43472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07-4BEB-8945-00DAB8EDA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3365280"/>
        <c:axId val="1383369600"/>
      </c:barChart>
      <c:catAx>
        <c:axId val="138336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83369600"/>
        <c:crosses val="autoZero"/>
        <c:auto val="1"/>
        <c:lblAlgn val="ctr"/>
        <c:lblOffset val="100"/>
        <c:noMultiLvlLbl val="0"/>
      </c:catAx>
      <c:valAx>
        <c:axId val="1383369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336528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32-4BE5-8AF5-5935837A3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8287600"/>
        <c:axId val="1618285200"/>
      </c:barChart>
      <c:catAx>
        <c:axId val="161828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285200"/>
        <c:crosses val="autoZero"/>
        <c:auto val="1"/>
        <c:lblAlgn val="ctr"/>
        <c:lblOffset val="100"/>
        <c:noMultiLvlLbl val="0"/>
      </c:catAx>
      <c:valAx>
        <c:axId val="1618285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828760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38-47D9-99E7-267E6CCAD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3471280"/>
        <c:axId val="1693461200"/>
      </c:barChart>
      <c:catAx>
        <c:axId val="169347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3461200"/>
        <c:crosses val="autoZero"/>
        <c:auto val="1"/>
        <c:lblAlgn val="ctr"/>
        <c:lblOffset val="100"/>
        <c:noMultiLvlLbl val="0"/>
      </c:catAx>
      <c:valAx>
        <c:axId val="1693461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347128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8-4BB5-BC85-7622A674A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55759"/>
        <c:axId val="1603749039"/>
      </c:barChart>
      <c:catAx>
        <c:axId val="1603755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49039"/>
        <c:crosses val="autoZero"/>
        <c:auto val="1"/>
        <c:lblAlgn val="ctr"/>
        <c:lblOffset val="100"/>
        <c:noMultiLvlLbl val="0"/>
      </c:catAx>
      <c:valAx>
        <c:axId val="1603749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557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0-45FA-B0AE-0D2E00D90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72079"/>
        <c:axId val="1603773999"/>
      </c:barChart>
      <c:catAx>
        <c:axId val="1603772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73999"/>
        <c:crosses val="autoZero"/>
        <c:auto val="1"/>
        <c:lblAlgn val="ctr"/>
        <c:lblOffset val="100"/>
        <c:noMultiLvlLbl val="0"/>
      </c:catAx>
      <c:valAx>
        <c:axId val="16037739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720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8-420A-BF6B-A92796447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68719"/>
        <c:axId val="1603778799"/>
      </c:barChart>
      <c:catAx>
        <c:axId val="1603768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78799"/>
        <c:crosses val="autoZero"/>
        <c:auto val="1"/>
        <c:lblAlgn val="ctr"/>
        <c:lblOffset val="100"/>
        <c:noMultiLvlLbl val="0"/>
      </c:catAx>
      <c:valAx>
        <c:axId val="16037787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687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E8-4323-B0DB-7A9D77D1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85519"/>
        <c:axId val="1603781679"/>
      </c:barChart>
      <c:catAx>
        <c:axId val="160378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81679"/>
        <c:crosses val="autoZero"/>
        <c:auto val="1"/>
        <c:lblAlgn val="ctr"/>
        <c:lblOffset val="100"/>
        <c:noMultiLvlLbl val="0"/>
      </c:catAx>
      <c:valAx>
        <c:axId val="16037816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855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0E-4486-A120-47C67EAE6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67759"/>
        <c:axId val="1603784559"/>
      </c:barChart>
      <c:catAx>
        <c:axId val="1603767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84559"/>
        <c:crosses val="autoZero"/>
        <c:auto val="1"/>
        <c:lblAlgn val="ctr"/>
        <c:lblOffset val="100"/>
        <c:noMultiLvlLbl val="0"/>
      </c:catAx>
      <c:valAx>
        <c:axId val="1603784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677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54-4DB6-8A31-DE628D87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66799"/>
        <c:axId val="1603776399"/>
      </c:barChart>
      <c:catAx>
        <c:axId val="1603766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76399"/>
        <c:crosses val="autoZero"/>
        <c:auto val="1"/>
        <c:lblAlgn val="ctr"/>
        <c:lblOffset val="100"/>
        <c:noMultiLvlLbl val="0"/>
      </c:catAx>
      <c:valAx>
        <c:axId val="16037763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66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D5-40F2-BBBE-1EACFCEA5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75439"/>
        <c:axId val="1603781199"/>
      </c:barChart>
      <c:catAx>
        <c:axId val="1603775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81199"/>
        <c:crosses val="autoZero"/>
        <c:auto val="1"/>
        <c:lblAlgn val="ctr"/>
        <c:lblOffset val="100"/>
        <c:noMultiLvlLbl val="0"/>
      </c:catAx>
      <c:valAx>
        <c:axId val="1603781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754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61-410E-A158-44735D456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74959"/>
        <c:axId val="1603762479"/>
      </c:barChart>
      <c:catAx>
        <c:axId val="1603774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62479"/>
        <c:crosses val="autoZero"/>
        <c:auto val="1"/>
        <c:lblAlgn val="ctr"/>
        <c:lblOffset val="100"/>
        <c:noMultiLvlLbl val="0"/>
      </c:catAx>
      <c:valAx>
        <c:axId val="1603762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74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5-48E9-A39E-ECC35EEF8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786959"/>
        <c:axId val="1603770639"/>
      </c:barChart>
      <c:catAx>
        <c:axId val="160378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770639"/>
        <c:crosses val="autoZero"/>
        <c:auto val="1"/>
        <c:lblAlgn val="ctr"/>
        <c:lblOffset val="100"/>
        <c:noMultiLvlLbl val="0"/>
      </c:catAx>
      <c:valAx>
        <c:axId val="160377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7869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23-4CE0-90A8-868AC710B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690479"/>
        <c:axId val="1603692879"/>
      </c:barChart>
      <c:catAx>
        <c:axId val="1603690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692879"/>
        <c:crosses val="autoZero"/>
        <c:auto val="1"/>
        <c:lblAlgn val="ctr"/>
        <c:lblOffset val="100"/>
        <c:noMultiLvlLbl val="0"/>
      </c:catAx>
      <c:valAx>
        <c:axId val="1603692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36904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A-4583-AD21-D0B8AF57F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96767"/>
        <c:axId val="659197247"/>
      </c:barChart>
      <c:catAx>
        <c:axId val="659196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97247"/>
        <c:crosses val="autoZero"/>
        <c:auto val="1"/>
        <c:lblAlgn val="ctr"/>
        <c:lblOffset val="100"/>
        <c:noMultiLvlLbl val="0"/>
      </c:catAx>
      <c:valAx>
        <c:axId val="659197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967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EA-4C51-A030-8DC050B9F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11807"/>
        <c:axId val="659101727"/>
      </c:barChart>
      <c:catAx>
        <c:axId val="659111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01727"/>
        <c:crosses val="autoZero"/>
        <c:auto val="1"/>
        <c:lblAlgn val="ctr"/>
        <c:lblOffset val="100"/>
        <c:noMultiLvlLbl val="0"/>
      </c:catAx>
      <c:valAx>
        <c:axId val="659101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118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D6-479D-889B-7D2F015B6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207327"/>
        <c:axId val="659207807"/>
      </c:barChart>
      <c:catAx>
        <c:axId val="659207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207807"/>
        <c:crosses val="autoZero"/>
        <c:auto val="1"/>
        <c:lblAlgn val="ctr"/>
        <c:lblOffset val="100"/>
        <c:noMultiLvlLbl val="0"/>
      </c:catAx>
      <c:valAx>
        <c:axId val="6592078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2073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A-4AC0-811A-475F76C4B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19007"/>
        <c:axId val="659115167"/>
      </c:barChart>
      <c:catAx>
        <c:axId val="659119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15167"/>
        <c:crosses val="autoZero"/>
        <c:auto val="1"/>
        <c:lblAlgn val="ctr"/>
        <c:lblOffset val="100"/>
        <c:noMultiLvlLbl val="0"/>
      </c:catAx>
      <c:valAx>
        <c:axId val="65911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190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5-47A1-91B8-516580405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203487"/>
        <c:axId val="659209727"/>
      </c:barChart>
      <c:catAx>
        <c:axId val="65920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209727"/>
        <c:crosses val="autoZero"/>
        <c:auto val="1"/>
        <c:lblAlgn val="ctr"/>
        <c:lblOffset val="100"/>
        <c:noMultiLvlLbl val="0"/>
      </c:catAx>
      <c:valAx>
        <c:axId val="659209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203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C-443C-A290-F494A5326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09887"/>
        <c:axId val="659113727"/>
      </c:barChart>
      <c:catAx>
        <c:axId val="65910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13727"/>
        <c:crosses val="autoZero"/>
        <c:auto val="1"/>
        <c:lblAlgn val="ctr"/>
        <c:lblOffset val="100"/>
        <c:noMultiLvlLbl val="0"/>
      </c:catAx>
      <c:valAx>
        <c:axId val="65911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098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9-401A-B6A9-BA05C6E1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205887"/>
        <c:axId val="659208767"/>
      </c:barChart>
      <c:catAx>
        <c:axId val="659205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208767"/>
        <c:crosses val="autoZero"/>
        <c:auto val="1"/>
        <c:lblAlgn val="ctr"/>
        <c:lblOffset val="100"/>
        <c:noMultiLvlLbl val="0"/>
      </c:catAx>
      <c:valAx>
        <c:axId val="6592087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2058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2C-4525-8BD6-5FD2B8BCC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95327"/>
        <c:axId val="659199647"/>
      </c:barChart>
      <c:catAx>
        <c:axId val="659195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99647"/>
        <c:crosses val="autoZero"/>
        <c:auto val="1"/>
        <c:lblAlgn val="ctr"/>
        <c:lblOffset val="100"/>
        <c:noMultiLvlLbl val="0"/>
      </c:catAx>
      <c:valAx>
        <c:axId val="659199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953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F-4795-97A5-DB72C27C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199167"/>
        <c:axId val="659192447"/>
      </c:barChart>
      <c:catAx>
        <c:axId val="659199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92447"/>
        <c:crosses val="autoZero"/>
        <c:auto val="1"/>
        <c:lblAlgn val="ctr"/>
        <c:lblOffset val="100"/>
        <c:noMultiLvlLbl val="0"/>
      </c:catAx>
      <c:valAx>
        <c:axId val="6591924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1991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B-450C-8D1F-BC237E997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205407"/>
        <c:axId val="659193407"/>
      </c:barChart>
      <c:catAx>
        <c:axId val="659205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59193407"/>
        <c:crosses val="autoZero"/>
        <c:auto val="1"/>
        <c:lblAlgn val="ctr"/>
        <c:lblOffset val="100"/>
        <c:noMultiLvlLbl val="0"/>
      </c:catAx>
      <c:valAx>
        <c:axId val="6591934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592054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98-4BD1-A338-AB170599C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82047"/>
        <c:axId val="1883793567"/>
      </c:barChart>
      <c:catAx>
        <c:axId val="1883782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93567"/>
        <c:crosses val="autoZero"/>
        <c:auto val="1"/>
        <c:lblAlgn val="ctr"/>
        <c:lblOffset val="100"/>
        <c:noMultiLvlLbl val="0"/>
      </c:catAx>
      <c:valAx>
        <c:axId val="188379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37820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A-42B1-8215-C852DA1A1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3714895"/>
        <c:axId val="1154678351"/>
      </c:barChart>
      <c:catAx>
        <c:axId val="1873714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4678351"/>
        <c:crosses val="autoZero"/>
        <c:auto val="1"/>
        <c:lblAlgn val="ctr"/>
        <c:lblOffset val="100"/>
        <c:noMultiLvlLbl val="0"/>
      </c:catAx>
      <c:valAx>
        <c:axId val="1154678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37148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6-4D84-AD2E-5A2D7538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93087"/>
        <c:axId val="1883786847"/>
      </c:barChart>
      <c:catAx>
        <c:axId val="1883793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86847"/>
        <c:crosses val="autoZero"/>
        <c:auto val="1"/>
        <c:lblAlgn val="ctr"/>
        <c:lblOffset val="100"/>
        <c:noMultiLvlLbl val="0"/>
      </c:catAx>
      <c:valAx>
        <c:axId val="18837868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3793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7-4AA8-9A28-BDAA7A97E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6806111"/>
        <c:axId val="1886799871"/>
      </c:barChart>
      <c:catAx>
        <c:axId val="1886806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6799871"/>
        <c:crosses val="autoZero"/>
        <c:auto val="1"/>
        <c:lblAlgn val="ctr"/>
        <c:lblOffset val="100"/>
        <c:noMultiLvlLbl val="0"/>
      </c:catAx>
      <c:valAx>
        <c:axId val="1886799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6806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E24-9C03-D3E2713CE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272911"/>
        <c:axId val="1802276543"/>
      </c:barChart>
      <c:catAx>
        <c:axId val="180227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2276543"/>
        <c:crosses val="autoZero"/>
        <c:auto val="1"/>
        <c:lblAlgn val="ctr"/>
        <c:lblOffset val="100"/>
        <c:noMultiLvlLbl val="0"/>
      </c:catAx>
      <c:valAx>
        <c:axId val="1802276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22729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3B-4828-826A-73FBB9DB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804607"/>
        <c:axId val="1883802687"/>
      </c:barChart>
      <c:catAx>
        <c:axId val="1883804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802687"/>
        <c:crosses val="autoZero"/>
        <c:auto val="1"/>
        <c:lblAlgn val="ctr"/>
        <c:lblOffset val="100"/>
        <c:noMultiLvlLbl val="0"/>
      </c:catAx>
      <c:valAx>
        <c:axId val="18838026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38046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C-427E-99BF-0610F08CF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9208511"/>
        <c:axId val="1879208991"/>
      </c:barChart>
      <c:catAx>
        <c:axId val="1879208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9208991"/>
        <c:crosses val="autoZero"/>
        <c:auto val="1"/>
        <c:lblAlgn val="ctr"/>
        <c:lblOffset val="100"/>
        <c:noMultiLvlLbl val="0"/>
      </c:catAx>
      <c:valAx>
        <c:axId val="1879208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92085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12-41DC-8FBF-CC99928FA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618991"/>
        <c:axId val="1932620431"/>
      </c:barChart>
      <c:catAx>
        <c:axId val="1932618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620431"/>
        <c:crosses val="autoZero"/>
        <c:auto val="1"/>
        <c:lblAlgn val="ctr"/>
        <c:lblOffset val="100"/>
        <c:noMultiLvlLbl val="0"/>
      </c:catAx>
      <c:valAx>
        <c:axId val="19326204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26189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A5-4AF6-B700-74BD10497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840159"/>
        <c:axId val="1323843039"/>
      </c:barChart>
      <c:catAx>
        <c:axId val="132384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23843039"/>
        <c:crosses val="autoZero"/>
        <c:auto val="1"/>
        <c:lblAlgn val="ctr"/>
        <c:lblOffset val="100"/>
        <c:noMultiLvlLbl val="0"/>
      </c:catAx>
      <c:valAx>
        <c:axId val="1323843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3840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8E-4F7F-ADD1-187B91607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259743"/>
        <c:axId val="1318585439"/>
      </c:barChart>
      <c:catAx>
        <c:axId val="1318259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8585439"/>
        <c:crosses val="autoZero"/>
        <c:auto val="1"/>
        <c:lblAlgn val="ctr"/>
        <c:lblOffset val="100"/>
        <c:noMultiLvlLbl val="0"/>
      </c:catAx>
      <c:valAx>
        <c:axId val="13185854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825974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A-46D0-A955-DE8BA49DE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809407"/>
        <c:axId val="1883809887"/>
      </c:barChart>
      <c:catAx>
        <c:axId val="1883809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809887"/>
        <c:crosses val="autoZero"/>
        <c:auto val="1"/>
        <c:lblAlgn val="ctr"/>
        <c:lblOffset val="100"/>
        <c:noMultiLvlLbl val="0"/>
      </c:catAx>
      <c:valAx>
        <c:axId val="18838098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38094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2-47F1-8833-580DB750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279695"/>
        <c:axId val="1568258159"/>
      </c:barChart>
      <c:catAx>
        <c:axId val="1802279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8258159"/>
        <c:crosses val="autoZero"/>
        <c:auto val="1"/>
        <c:lblAlgn val="ctr"/>
        <c:lblOffset val="100"/>
        <c:noMultiLvlLbl val="0"/>
      </c:catAx>
      <c:valAx>
        <c:axId val="1568258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22796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0-48AA-A582-AA3C00A7C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6798431"/>
        <c:axId val="1886807551"/>
      </c:barChart>
      <c:catAx>
        <c:axId val="1886798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6807551"/>
        <c:crosses val="autoZero"/>
        <c:auto val="1"/>
        <c:lblAlgn val="ctr"/>
        <c:lblOffset val="100"/>
        <c:noMultiLvlLbl val="0"/>
      </c:catAx>
      <c:valAx>
        <c:axId val="18868075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67984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7-476D-A55B-967A494CA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803679"/>
        <c:axId val="1195805599"/>
      </c:barChart>
      <c:catAx>
        <c:axId val="1195803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5805599"/>
        <c:crosses val="autoZero"/>
        <c:auto val="1"/>
        <c:lblAlgn val="ctr"/>
        <c:lblOffset val="100"/>
        <c:noMultiLvlLbl val="0"/>
      </c:catAx>
      <c:valAx>
        <c:axId val="1195805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58036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30-4211-A8B3-8746A119C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94527"/>
        <c:axId val="1883789247"/>
      </c:barChart>
      <c:catAx>
        <c:axId val="1883794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89247"/>
        <c:crosses val="autoZero"/>
        <c:auto val="1"/>
        <c:lblAlgn val="ctr"/>
        <c:lblOffset val="100"/>
        <c:noMultiLvlLbl val="0"/>
      </c:catAx>
      <c:valAx>
        <c:axId val="1883789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379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1-4199-B044-9C5D87828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802719"/>
        <c:axId val="1802278735"/>
      </c:barChart>
      <c:catAx>
        <c:axId val="1195802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2278735"/>
        <c:crosses val="autoZero"/>
        <c:auto val="1"/>
        <c:lblAlgn val="ctr"/>
        <c:lblOffset val="100"/>
        <c:noMultiLvlLbl val="0"/>
      </c:catAx>
      <c:valAx>
        <c:axId val="1802278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58027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F-4080-AD98-08232915A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0687471"/>
        <c:axId val="1310689871"/>
      </c:barChart>
      <c:catAx>
        <c:axId val="1310687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0689871"/>
        <c:crosses val="autoZero"/>
        <c:auto val="1"/>
        <c:lblAlgn val="ctr"/>
        <c:lblOffset val="100"/>
        <c:noMultiLvlLbl val="0"/>
      </c:catAx>
      <c:valAx>
        <c:axId val="1310689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106874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16-48DB-8D49-25412BEF1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4525055"/>
        <c:axId val="1154523615"/>
      </c:barChart>
      <c:catAx>
        <c:axId val="1154525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4523615"/>
        <c:crosses val="autoZero"/>
        <c:auto val="1"/>
        <c:lblAlgn val="ctr"/>
        <c:lblOffset val="100"/>
        <c:noMultiLvlLbl val="0"/>
      </c:catAx>
      <c:valAx>
        <c:axId val="11545236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4525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FF-4D7A-B3FF-58526F2C8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3037631"/>
        <c:axId val="1563034751"/>
      </c:barChart>
      <c:catAx>
        <c:axId val="1563037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3034751"/>
        <c:crosses val="autoZero"/>
        <c:auto val="1"/>
        <c:lblAlgn val="ctr"/>
        <c:lblOffset val="100"/>
        <c:noMultiLvlLbl val="0"/>
      </c:catAx>
      <c:valAx>
        <c:axId val="1563034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30376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C-4203-BC87-DCEFA8AD7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9364111"/>
        <c:axId val="1310511583"/>
      </c:barChart>
      <c:catAx>
        <c:axId val="1159364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10511583"/>
        <c:crosses val="autoZero"/>
        <c:auto val="1"/>
        <c:lblAlgn val="ctr"/>
        <c:lblOffset val="100"/>
        <c:noMultiLvlLbl val="0"/>
      </c:catAx>
      <c:valAx>
        <c:axId val="1310511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93641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2-44C0-8DF9-0DBB9CC0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9361711"/>
        <c:axId val="1159363151"/>
      </c:barChart>
      <c:catAx>
        <c:axId val="1159361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9363151"/>
        <c:crosses val="autoZero"/>
        <c:auto val="1"/>
        <c:lblAlgn val="ctr"/>
        <c:lblOffset val="100"/>
        <c:noMultiLvlLbl val="0"/>
      </c:catAx>
      <c:valAx>
        <c:axId val="1159363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936171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A-4DA9-9261-95D5AE30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526799"/>
        <c:axId val="1352526319"/>
      </c:barChart>
      <c:catAx>
        <c:axId val="1352526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2526319"/>
        <c:crosses val="autoZero"/>
        <c:auto val="1"/>
        <c:lblAlgn val="ctr"/>
        <c:lblOffset val="100"/>
        <c:noMultiLvlLbl val="0"/>
      </c:catAx>
      <c:valAx>
        <c:axId val="1352526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2526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1-4AB9-9F03-CA43A33D4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525359"/>
        <c:axId val="1352524399"/>
      </c:barChart>
      <c:catAx>
        <c:axId val="135252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2524399"/>
        <c:crosses val="autoZero"/>
        <c:auto val="1"/>
        <c:lblAlgn val="ctr"/>
        <c:lblOffset val="100"/>
        <c:noMultiLvlLbl val="0"/>
      </c:catAx>
      <c:valAx>
        <c:axId val="13525243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25253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5D-490A-B680-CCE49A21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525839"/>
        <c:axId val="1352523919"/>
      </c:barChart>
      <c:catAx>
        <c:axId val="135252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2523919"/>
        <c:crosses val="autoZero"/>
        <c:auto val="1"/>
        <c:lblAlgn val="ctr"/>
        <c:lblOffset val="100"/>
        <c:noMultiLvlLbl val="0"/>
      </c:catAx>
      <c:valAx>
        <c:axId val="1352523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252583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6-460D-B67F-5E256B414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3526879"/>
        <c:axId val="1933534079"/>
      </c:barChart>
      <c:catAx>
        <c:axId val="1933526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3534079"/>
        <c:crosses val="autoZero"/>
        <c:auto val="1"/>
        <c:lblAlgn val="ctr"/>
        <c:lblOffset val="100"/>
        <c:noMultiLvlLbl val="0"/>
      </c:catAx>
      <c:valAx>
        <c:axId val="19335340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352687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0-4AF5-BEC6-FCDE43118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3530719"/>
        <c:axId val="1933532159"/>
      </c:barChart>
      <c:catAx>
        <c:axId val="19335307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3532159"/>
        <c:crosses val="autoZero"/>
        <c:auto val="1"/>
        <c:lblAlgn val="ctr"/>
        <c:lblOffset val="100"/>
        <c:noMultiLvlLbl val="0"/>
      </c:catAx>
      <c:valAx>
        <c:axId val="1933532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335307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03-4217-BE35-433009B22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053455"/>
        <c:axId val="482057295"/>
      </c:barChart>
      <c:catAx>
        <c:axId val="482053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2057295"/>
        <c:crosses val="autoZero"/>
        <c:auto val="1"/>
        <c:lblAlgn val="ctr"/>
        <c:lblOffset val="100"/>
        <c:noMultiLvlLbl val="0"/>
      </c:catAx>
      <c:valAx>
        <c:axId val="4820572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0534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01-49DA-ACC1-56DCBA191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417695"/>
        <c:axId val="1090420575"/>
      </c:barChart>
      <c:catAx>
        <c:axId val="1090417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0420575"/>
        <c:crosses val="autoZero"/>
        <c:auto val="1"/>
        <c:lblAlgn val="ctr"/>
        <c:lblOffset val="100"/>
        <c:noMultiLvlLbl val="0"/>
      </c:catAx>
      <c:valAx>
        <c:axId val="1090420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4176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E0-49E7-ACCE-5B8CA806B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434015"/>
        <c:axId val="1090433055"/>
      </c:barChart>
      <c:catAx>
        <c:axId val="1090434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0433055"/>
        <c:crosses val="autoZero"/>
        <c:auto val="1"/>
        <c:lblAlgn val="ctr"/>
        <c:lblOffset val="100"/>
        <c:noMultiLvlLbl val="0"/>
      </c:catAx>
      <c:valAx>
        <c:axId val="10904330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4340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5-45F1-8AD1-233E36FDE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422495"/>
        <c:axId val="1090422975"/>
      </c:barChart>
      <c:catAx>
        <c:axId val="1090422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0422975"/>
        <c:crosses val="autoZero"/>
        <c:auto val="1"/>
        <c:lblAlgn val="ctr"/>
        <c:lblOffset val="100"/>
        <c:noMultiLvlLbl val="0"/>
      </c:catAx>
      <c:valAx>
        <c:axId val="1090422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4224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8-4162-BAEF-BB14BFB98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419615"/>
        <c:axId val="1090421055"/>
      </c:barChart>
      <c:catAx>
        <c:axId val="1090419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0421055"/>
        <c:crosses val="autoZero"/>
        <c:auto val="1"/>
        <c:lblAlgn val="ctr"/>
        <c:lblOffset val="100"/>
        <c:noMultiLvlLbl val="0"/>
      </c:catAx>
      <c:valAx>
        <c:axId val="10904210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04196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2E-4746-BC1B-A0E82FDA8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8317392"/>
        <c:axId val="2084760432"/>
      </c:barChart>
      <c:catAx>
        <c:axId val="199831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4760432"/>
        <c:crosses val="autoZero"/>
        <c:auto val="1"/>
        <c:lblAlgn val="ctr"/>
        <c:lblOffset val="100"/>
        <c:noMultiLvlLbl val="0"/>
      </c:catAx>
      <c:valAx>
        <c:axId val="2084760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831739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Key Simulation Outcomes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Results!$E$8</c:f>
              <c:strCache>
                <c:ptCount val="1"/>
                <c:pt idx="0">
                  <c:v>Value</c:v>
                </c:pt>
              </c:strCache>
            </c:strRef>
          </c:tx>
          <c:invertIfNegative val="0"/>
          <c:cat>
            <c:strRef>
              <c:f>Results!$D$9:$D$11</c:f>
              <c:strCache>
                <c:ptCount val="3"/>
                <c:pt idx="0">
                  <c:v>Median Ending Balance</c:v>
                </c:pt>
                <c:pt idx="1">
                  <c:v>5th Percentile (Worst Case)</c:v>
                </c:pt>
                <c:pt idx="2">
                  <c:v>Average Ending Balance</c:v>
                </c:pt>
              </c:strCache>
            </c:strRef>
          </c:cat>
          <c:val>
            <c:numRef>
              <c:f>Results!$E$9:$E$11</c:f>
              <c:numCache>
                <c:formatCode>General</c:formatCode>
                <c:ptCount val="3"/>
                <c:pt idx="0">
                  <c:v>2282754.1528176991</c:v>
                </c:pt>
                <c:pt idx="1">
                  <c:v>0</c:v>
                </c:pt>
                <c:pt idx="2">
                  <c:v>2993242.1697404347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6B-42FF-B34C-B37630B72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874928"/>
        <c:axId val="1160874448"/>
      </c:barChart>
      <c:catAx>
        <c:axId val="116087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0874448"/>
        <c:crosses val="autoZero"/>
        <c:auto val="1"/>
        <c:lblAlgn val="ctr"/>
        <c:lblOffset val="100"/>
        <c:noMultiLvlLbl val="0"/>
      </c:catAx>
      <c:valAx>
        <c:axId val="116087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087492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Balance Over Time - First Simulation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'First Simulation Path'!$A$1</c:f>
              <c:strCache>
                <c:ptCount val="1"/>
                <c:pt idx="0">
                  <c:v>Year</c:v>
                </c:pt>
              </c:strCache>
            </c:strRef>
          </c:tx>
          <c:marker>
            <c:symbol val="none"/>
          </c:marker>
          <c:val>
            <c:numRef>
              <c:f>'First Simulation Path'!$A$2:$A$32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4A-4E57-9EB6-7C908A90313C}"/>
            </c:ext>
          </c:extLst>
        </c:ser>
        <c:ser>
          <c:idx val="1"/>
          <c:order val="1"/>
          <c:tx>
            <c:strRef>
              <c:f>'First Simulation Path'!$B$1</c:f>
              <c:strCache>
                <c:ptCount val="1"/>
                <c:pt idx="0">
                  <c:v>Portfolio Balance</c:v>
                </c:pt>
              </c:strCache>
            </c:strRef>
          </c:tx>
          <c:marker>
            <c:symbol val="none"/>
          </c:marker>
          <c:val>
            <c:numRef>
              <c:f>'First Simulation Path'!$B$2:$B$32</c:f>
              <c:numCache>
                <c:formatCode>"$"#,##0</c:formatCode>
                <c:ptCount val="31"/>
                <c:pt idx="0">
                  <c:v>800000</c:v>
                </c:pt>
                <c:pt idx="1">
                  <c:v>715304.52912779688</c:v>
                </c:pt>
                <c:pt idx="2">
                  <c:v>619811.34133718116</c:v>
                </c:pt>
                <c:pt idx="3">
                  <c:v>671687.17741360434</c:v>
                </c:pt>
                <c:pt idx="4">
                  <c:v>674894.28837928758</c:v>
                </c:pt>
                <c:pt idx="5">
                  <c:v>650382.63525977253</c:v>
                </c:pt>
                <c:pt idx="6">
                  <c:v>752749.52791818965</c:v>
                </c:pt>
                <c:pt idx="7">
                  <c:v>743285.54532223695</c:v>
                </c:pt>
                <c:pt idx="8">
                  <c:v>723318.3205515095</c:v>
                </c:pt>
                <c:pt idx="9">
                  <c:v>782677.80878312048</c:v>
                </c:pt>
                <c:pt idx="10">
                  <c:v>729420.24776601093</c:v>
                </c:pt>
                <c:pt idx="11">
                  <c:v>684647.89583664283</c:v>
                </c:pt>
                <c:pt idx="12">
                  <c:v>864762.64831708034</c:v>
                </c:pt>
                <c:pt idx="13">
                  <c:v>859604.45946648088</c:v>
                </c:pt>
                <c:pt idx="14">
                  <c:v>1086422.0058399802</c:v>
                </c:pt>
                <c:pt idx="15">
                  <c:v>1282864.562296683</c:v>
                </c:pt>
                <c:pt idx="16">
                  <c:v>1213833.5038806964</c:v>
                </c:pt>
                <c:pt idx="17">
                  <c:v>1241432.3803121629</c:v>
                </c:pt>
                <c:pt idx="18">
                  <c:v>1370292.8407301519</c:v>
                </c:pt>
                <c:pt idx="19">
                  <c:v>1601122.090046721</c:v>
                </c:pt>
                <c:pt idx="20">
                  <c:v>1582408.6727504814</c:v>
                </c:pt>
                <c:pt idx="21">
                  <c:v>1207750.4041344055</c:v>
                </c:pt>
                <c:pt idx="22">
                  <c:v>1358080.3239958221</c:v>
                </c:pt>
                <c:pt idx="23">
                  <c:v>1309469.9923587784</c:v>
                </c:pt>
                <c:pt idx="24">
                  <c:v>1195919.9124420357</c:v>
                </c:pt>
                <c:pt idx="25">
                  <c:v>1082645.3396738612</c:v>
                </c:pt>
                <c:pt idx="26">
                  <c:v>912176.03221916151</c:v>
                </c:pt>
                <c:pt idx="27">
                  <c:v>1100159.327496591</c:v>
                </c:pt>
                <c:pt idx="28">
                  <c:v>1267773.9779577439</c:v>
                </c:pt>
                <c:pt idx="29">
                  <c:v>1190553.7312343034</c:v>
                </c:pt>
                <c:pt idx="30">
                  <c:v>1221443.1010433503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4A-4E57-9EB6-7C908A903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0187808"/>
        <c:axId val="2120187328"/>
      </c:lineChart>
      <c:catAx>
        <c:axId val="212018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majorTickMark val="out"/>
        <c:minorTickMark val="none"/>
        <c:tickLblPos val="nextTo"/>
        <c:crossAx val="2120187328"/>
        <c:crosses val="autoZero"/>
        <c:auto val="1"/>
        <c:lblAlgn val="ctr"/>
        <c:lblOffset val="100"/>
        <c:noMultiLvlLbl val="0"/>
      </c:catAx>
      <c:valAx>
        <c:axId val="212018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Portfolio Value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01878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Distribution of Ending Portfolio Values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'Outcome Histogram'!$B$1</c:f>
              <c:strCache>
                <c:ptCount val="1"/>
                <c:pt idx="0">
                  <c:v>Number of Simulations</c:v>
                </c:pt>
              </c:strCache>
            </c:strRef>
          </c:tx>
          <c:invertIfNegative val="0"/>
          <c:cat>
            <c:strRef>
              <c:f>'Outcome Histogram'!$A$2:$A$12</c:f>
              <c:strCache>
                <c:ptCount val="11"/>
                <c:pt idx="0">
                  <c:v>0 - 1000000</c:v>
                </c:pt>
                <c:pt idx="1">
                  <c:v>1000000 - 2000000</c:v>
                </c:pt>
                <c:pt idx="2">
                  <c:v>2000000 - 3000000</c:v>
                </c:pt>
                <c:pt idx="3">
                  <c:v>3000000 - 4000000</c:v>
                </c:pt>
                <c:pt idx="4">
                  <c:v>4000000 - 5000000</c:v>
                </c:pt>
                <c:pt idx="5">
                  <c:v>5000000 - 6000000</c:v>
                </c:pt>
                <c:pt idx="6">
                  <c:v>6000000 - 7000000</c:v>
                </c:pt>
                <c:pt idx="7">
                  <c:v>7000000 - 8000000</c:v>
                </c:pt>
                <c:pt idx="8">
                  <c:v>8000000 - 9000000</c:v>
                </c:pt>
                <c:pt idx="9">
                  <c:v>9000000 - 10000000</c:v>
                </c:pt>
                <c:pt idx="10">
                  <c:v>10M+</c:v>
                </c:pt>
              </c:strCache>
            </c:strRef>
          </c:cat>
          <c:val>
            <c:numRef>
              <c:f>'Outcome Histogram'!$B$2:$B$12</c:f>
              <c:numCache>
                <c:formatCode>General</c:formatCode>
                <c:ptCount val="11"/>
                <c:pt idx="0">
                  <c:v>2422</c:v>
                </c:pt>
                <c:pt idx="1">
                  <c:v>2057</c:v>
                </c:pt>
                <c:pt idx="2">
                  <c:v>1644</c:v>
                </c:pt>
                <c:pt idx="3">
                  <c:v>1236</c:v>
                </c:pt>
                <c:pt idx="4">
                  <c:v>872</c:v>
                </c:pt>
                <c:pt idx="5">
                  <c:v>561</c:v>
                </c:pt>
                <c:pt idx="6">
                  <c:v>364</c:v>
                </c:pt>
                <c:pt idx="7">
                  <c:v>270</c:v>
                </c:pt>
                <c:pt idx="8">
                  <c:v>187</c:v>
                </c:pt>
                <c:pt idx="9">
                  <c:v>113</c:v>
                </c:pt>
                <c:pt idx="10">
                  <c:v>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61-4DDC-9ACC-F17B48E5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60877328"/>
        <c:axId val="2133137904"/>
      </c:barChart>
      <c:catAx>
        <c:axId val="116087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Ending Portfolio Value Range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3137904"/>
        <c:crosses val="autoZero"/>
        <c:auto val="1"/>
        <c:lblAlgn val="ctr"/>
        <c:lblOffset val="100"/>
        <c:noMultiLvlLbl val="0"/>
      </c:catAx>
      <c:valAx>
        <c:axId val="2133137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Simulations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087732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84" Type="http://schemas.openxmlformats.org/officeDocument/2006/relationships/chart" Target="../charts/chart87.xml"/><Relationship Id="rId89" Type="http://schemas.openxmlformats.org/officeDocument/2006/relationships/chart" Target="../charts/chart92.xml"/><Relationship Id="rId16" Type="http://schemas.openxmlformats.org/officeDocument/2006/relationships/chart" Target="../charts/chart19.xml"/><Relationship Id="rId11" Type="http://schemas.openxmlformats.org/officeDocument/2006/relationships/chart" Target="../charts/chart14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74" Type="http://schemas.openxmlformats.org/officeDocument/2006/relationships/chart" Target="../charts/chart77.xml"/><Relationship Id="rId79" Type="http://schemas.openxmlformats.org/officeDocument/2006/relationships/chart" Target="../charts/chart82.xml"/><Relationship Id="rId5" Type="http://schemas.openxmlformats.org/officeDocument/2006/relationships/chart" Target="../charts/chart8.xml"/><Relationship Id="rId90" Type="http://schemas.openxmlformats.org/officeDocument/2006/relationships/chart" Target="../charts/chart93.xml"/><Relationship Id="rId95" Type="http://schemas.openxmlformats.org/officeDocument/2006/relationships/chart" Target="../charts/chart98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0" Type="http://schemas.openxmlformats.org/officeDocument/2006/relationships/chart" Target="../charts/chart83.xml"/><Relationship Id="rId85" Type="http://schemas.openxmlformats.org/officeDocument/2006/relationships/chart" Target="../charts/chart88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75" Type="http://schemas.openxmlformats.org/officeDocument/2006/relationships/chart" Target="../charts/chart78.xml"/><Relationship Id="rId83" Type="http://schemas.openxmlformats.org/officeDocument/2006/relationships/chart" Target="../charts/chart86.xml"/><Relationship Id="rId88" Type="http://schemas.openxmlformats.org/officeDocument/2006/relationships/chart" Target="../charts/chart91.xml"/><Relationship Id="rId91" Type="http://schemas.openxmlformats.org/officeDocument/2006/relationships/chart" Target="../charts/chart94.xml"/><Relationship Id="rId96" Type="http://schemas.openxmlformats.org/officeDocument/2006/relationships/chart" Target="../charts/chart99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73" Type="http://schemas.openxmlformats.org/officeDocument/2006/relationships/chart" Target="../charts/chart76.xml"/><Relationship Id="rId78" Type="http://schemas.openxmlformats.org/officeDocument/2006/relationships/chart" Target="../charts/chart81.xml"/><Relationship Id="rId81" Type="http://schemas.openxmlformats.org/officeDocument/2006/relationships/chart" Target="../charts/chart84.xml"/><Relationship Id="rId86" Type="http://schemas.openxmlformats.org/officeDocument/2006/relationships/chart" Target="../charts/chart89.xml"/><Relationship Id="rId94" Type="http://schemas.openxmlformats.org/officeDocument/2006/relationships/chart" Target="../charts/chart97.xml"/><Relationship Id="rId99" Type="http://schemas.openxmlformats.org/officeDocument/2006/relationships/chart" Target="../charts/chart102.xml"/><Relationship Id="rId101" Type="http://schemas.openxmlformats.org/officeDocument/2006/relationships/chart" Target="../charts/chart104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Relationship Id="rId76" Type="http://schemas.openxmlformats.org/officeDocument/2006/relationships/chart" Target="../charts/chart79.xml"/><Relationship Id="rId97" Type="http://schemas.openxmlformats.org/officeDocument/2006/relationships/chart" Target="../charts/chart100.xml"/><Relationship Id="rId7" Type="http://schemas.openxmlformats.org/officeDocument/2006/relationships/chart" Target="../charts/chart10.xml"/><Relationship Id="rId71" Type="http://schemas.openxmlformats.org/officeDocument/2006/relationships/chart" Target="../charts/chart74.xml"/><Relationship Id="rId92" Type="http://schemas.openxmlformats.org/officeDocument/2006/relationships/chart" Target="../charts/chart95.xml"/><Relationship Id="rId2" Type="http://schemas.openxmlformats.org/officeDocument/2006/relationships/chart" Target="../charts/chart5.xml"/><Relationship Id="rId29" Type="http://schemas.openxmlformats.org/officeDocument/2006/relationships/chart" Target="../charts/chart32.xml"/><Relationship Id="rId24" Type="http://schemas.openxmlformats.org/officeDocument/2006/relationships/chart" Target="../charts/chart27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66" Type="http://schemas.openxmlformats.org/officeDocument/2006/relationships/chart" Target="../charts/chart69.xml"/><Relationship Id="rId87" Type="http://schemas.openxmlformats.org/officeDocument/2006/relationships/chart" Target="../charts/chart90.xml"/><Relationship Id="rId61" Type="http://schemas.openxmlformats.org/officeDocument/2006/relationships/chart" Target="../charts/chart64.xml"/><Relationship Id="rId82" Type="http://schemas.openxmlformats.org/officeDocument/2006/relationships/chart" Target="../charts/chart85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56" Type="http://schemas.openxmlformats.org/officeDocument/2006/relationships/chart" Target="../charts/chart59.xml"/><Relationship Id="rId77" Type="http://schemas.openxmlformats.org/officeDocument/2006/relationships/chart" Target="../charts/chart80.xml"/><Relationship Id="rId100" Type="http://schemas.openxmlformats.org/officeDocument/2006/relationships/chart" Target="../charts/chart103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72" Type="http://schemas.openxmlformats.org/officeDocument/2006/relationships/chart" Target="../charts/chart75.xml"/><Relationship Id="rId93" Type="http://schemas.openxmlformats.org/officeDocument/2006/relationships/chart" Target="../charts/chart96.xml"/><Relationship Id="rId98" Type="http://schemas.openxmlformats.org/officeDocument/2006/relationships/chart" Target="../charts/chart101.xml"/><Relationship Id="rId3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21</xdr:row>
          <xdr:rowOff>19050</xdr:rowOff>
        </xdr:from>
        <xdr:to>
          <xdr:col>1</xdr:col>
          <xdr:colOff>12700</xdr:colOff>
          <xdr:row>25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RETIREMENT SIMULATOR (CLICK HERE)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254000</xdr:colOff>
      <xdr:row>28</xdr:row>
      <xdr:rowOff>127000</xdr:rowOff>
    </xdr:from>
    <xdr:to>
      <xdr:col>7</xdr:col>
      <xdr:colOff>330200</xdr:colOff>
      <xdr:row>52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1315E0-3609-6FD3-6188-CB8AA8015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54</xdr:row>
      <xdr:rowOff>165100</xdr:rowOff>
    </xdr:from>
    <xdr:to>
      <xdr:col>7</xdr:col>
      <xdr:colOff>330200</xdr:colOff>
      <xdr:row>78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E33DD7-1646-20E3-7FA5-14814A589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81</xdr:row>
      <xdr:rowOff>19050</xdr:rowOff>
    </xdr:from>
    <xdr:to>
      <xdr:col>7</xdr:col>
      <xdr:colOff>330200</xdr:colOff>
      <xdr:row>104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A9EC681-092A-6F35-4948-6FC340E52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8C220C-91CD-4A1B-4A2F-82E187EC9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0C1C0B-AD52-AF8F-9CD1-49F89E0CD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5C6EB2-C38A-CE08-9CD1-C6D29AEF4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220DEF-E013-DE32-2A12-219265140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D39D733-75F8-454D-28EE-ED9164C81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451AA3D-350F-46D5-A46D-7A0C6DD91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52630CB-AD8C-E4B0-7118-1A8F709DB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16</xdr:col>
      <xdr:colOff>114300</xdr:colOff>
      <xdr:row>28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5071F3B-6995-063F-D663-CCEBABCCB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1E13017-7210-AB07-C6AB-E0B067F69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2A5A23-1EF4-FEEB-1A45-1E72E903B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D797520-15A1-EA51-3936-AB6037C24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25D49DD-C6B5-D984-D2BA-B8CD5F93E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FA36076-6231-5C0D-AA4D-31B7FF146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19824A3-2351-CCBA-85F9-BEDF90866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2E8C26B-8418-0EC5-0023-3A1268608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7A60B77-A83A-9C2D-EE32-2E2DF97DF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E3E0D848-DEC3-AED2-FD9A-7AF57EC7B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E12A8D4B-E387-498F-2332-7EAF332AE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7FB23B5-8991-5F28-AA30-865AFF1CB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0D3A0B0-7C18-5875-F0CE-884B910AB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62F8EC87-6F9C-258C-B8D2-E8710736F2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633AE6BE-A4A9-5E44-42A9-33DDB5AC6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9D9912B-A3AD-7326-F61C-67938A134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ACA82AB-A4AA-2FE4-FDBC-F9AC4623F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34A02DAF-412F-A63F-A85A-7F736B86A1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8E9E108-21A8-E74D-A94C-17D2797B7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19FBD674-4894-E417-04A1-78D8AA29F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C3896D93-EF2E-4F88-1BDC-A9698B4361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B60046CC-1C33-2BBF-754B-2EEB81786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8D09E33-F37A-6593-5029-4B6885954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505455B8-35B2-5689-1BC7-B1764539B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643D478-686F-8128-EA6E-AD70C10CE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EC1275C-16EA-BD05-EC58-72352BBD1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2937445E-2AA7-C414-67C4-2AAA5518B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839C92A-A470-86BA-2A72-B21731EA5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620691E7-54C4-61AA-6BDF-B46B1CDDB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25DE8AFF-3672-0996-ACA0-303004CDC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A0F3003-DC78-DC72-B9E5-C7BA7EE5E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5E4DB6C-24AD-93F1-25CE-0FB924937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6D5F58C4-F40F-FEE0-0A52-C805858CE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BE19448F-3956-FF7F-530A-1B39923B0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30287BA4-D99C-6B20-E13D-174FB0588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2FB5A462-A08E-1B4D-09F1-588D27C8FE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4BBA39C4-036F-1C4D-40C8-71BE089C0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D1712AEF-3E60-FED1-D9E6-0D85C74FB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1DA7F80A-78A5-117E-6560-32C8115D8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5AF4C137-6F4B-8B91-7042-B0E22E7B3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83348D66-A248-30BA-0A70-46F6AF392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E31E1674-08A1-1209-F979-0F97CD5E30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745AE4A-C7BE-12C4-CD84-C98A9B444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C566B293-ADA8-18D7-0913-DF3EF5879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E9C7193A-D75B-7347-CC21-6CD682E706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147C6ABE-07EB-2257-4CEC-3C25E4D64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D91E0305-E953-F28A-907B-54CED3B01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A720C41-D8CD-886D-A454-ED71A20FD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E974D117-7676-F728-FF16-5FCDDDFB4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FA3E70F1-FEE4-1294-C877-1105B2889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77DA17E3-AC21-C46F-BBA9-15D67C4B4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E6FDA2F2-0884-F517-78ED-3A3C5CE3EE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8A26C0A2-93CA-9F16-5352-90232B7B05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9BB0B202-B3FB-EAD1-299D-A4078F8B1A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4CC38524-FEE9-C29F-C8A8-926E39AD1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FC7F06FC-58ED-0CC2-2597-8AD6B2F85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F9BD81B7-9B5E-36FF-9AEF-B13B837F1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1CCC88A6-0FAA-914C-6DC3-4E3800496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5A2616F8-5DEA-EEC3-F1FE-D2E79FBD95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A93F3038-9E5C-B1C4-A84D-C5EBC0E5AB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A5C181F6-4EC3-AC19-4ACF-D890CE9396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846A8CF5-CC62-8B38-8830-60F8B3C32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54C34D6D-A897-87A9-0827-D58081D57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F4B8C52C-8540-CDA2-CFF0-C5B91470D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5B8F0F17-6363-9884-E6AE-D9222A000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3AD7BCA-AEFE-42D0-9792-69026E9EE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9DC253BA-A2FC-3EAD-2DCF-A1A02DCC2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E3026925-7F39-067D-D7FF-34D26677AC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14AD0F1-DF3C-485E-59BF-F42E2B0D9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EFC478FD-BD77-309C-6400-3DF5684F54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547D03C9-BF4D-FC70-A0AE-C7AF4037AE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EB77BFC8-1A69-81F5-B4AA-0FB4CD1FC1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7DA6D2A4-8086-BC46-952D-E0B99B7B1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736DE339-E84C-95F0-985B-7D59242CB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9676E2C7-F0B9-ED1E-0394-C6724C9B6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CA92F2AB-C6D1-9755-534B-B4E00720E5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7892B6F1-FD26-8A81-6869-15132A3F9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10E97594-0EA5-06E7-7741-E7A14A0AA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A1CD9871-4360-83E3-CD79-74A32C8E1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AA31EE1F-1FFC-A11F-6C29-D17ACA63B1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4E80D0F0-ECA7-DA96-110C-C159F4DAD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5E70B080-8CA9-D782-8BA0-0EDA41947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1197A76C-F574-0ABE-E52D-40EEE1F10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67024594-A2A1-BC5F-009E-B50BF187A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C267261F-AF53-A35C-84C7-BC8BCB42A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3246710B-D80C-3ECC-99DD-6142D595C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6D032FD1-CB79-BCB3-4319-91970ADB74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17E872D9-1EA9-5BEE-C448-7F6BD96B0F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6A735CA-011B-3CAD-0156-2017C9BB99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C00BA94C-6166-73F3-945E-5C15207FCE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BA4D4085-EFF2-4316-12F5-62CC4CBC4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55D0B4F4-CC80-C072-5FB3-800F767E8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2580BF34-AF04-D156-4366-AE3A4A205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15</xdr:col>
      <xdr:colOff>508000</xdr:colOff>
      <xdr:row>28</xdr:row>
      <xdr:rowOff>38100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27844AD8-D006-6AF8-A0FF-A50F98C50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18</xdr:col>
      <xdr:colOff>0</xdr:colOff>
      <xdr:row>30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DC0CD1-CE29-ABDC-33B2-201FDFB8C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18</xdr:col>
      <xdr:colOff>0</xdr:colOff>
      <xdr:row>30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E17977-14D7-27D6-6414-DFA5E1EA1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359A9-3298-4EBE-BE79-9B56C424C9BC}">
  <sheetPr codeName="Sheet1"/>
  <dimension ref="A1:I19"/>
  <sheetViews>
    <sheetView tabSelected="1" topLeftCell="A78" zoomScale="76" workbookViewId="0"/>
  </sheetViews>
  <sheetFormatPr defaultRowHeight="14.5" x14ac:dyDescent="0.35"/>
  <cols>
    <col min="1" max="1" width="53.08984375" customWidth="1"/>
    <col min="2" max="2" width="8.54296875" hidden="1" customWidth="1"/>
    <col min="3" max="3" width="40.54296875" customWidth="1"/>
    <col min="4" max="4" width="21.7265625" customWidth="1"/>
    <col min="5" max="5" width="10.36328125" bestFit="1" customWidth="1"/>
    <col min="6" max="6" width="3.90625" customWidth="1"/>
    <col min="7" max="7" width="0.1796875" customWidth="1"/>
    <col min="8" max="8" width="31.08984375" customWidth="1"/>
    <col min="9" max="9" width="16.81640625" customWidth="1"/>
    <col min="10" max="10" width="4.81640625" customWidth="1"/>
    <col min="11" max="11" width="20.1796875" customWidth="1"/>
    <col min="12" max="12" width="52" customWidth="1"/>
  </cols>
  <sheetData>
    <row r="1" spans="1:9" x14ac:dyDescent="0.35">
      <c r="A1" s="11" t="s">
        <v>43</v>
      </c>
    </row>
    <row r="2" spans="1:9" ht="18.5" x14ac:dyDescent="0.45">
      <c r="C2" s="11" t="s">
        <v>59</v>
      </c>
      <c r="D2" s="9" t="s">
        <v>61</v>
      </c>
      <c r="H2" s="9" t="s">
        <v>37</v>
      </c>
    </row>
    <row r="3" spans="1:9" x14ac:dyDescent="0.35">
      <c r="A3" t="s">
        <v>44</v>
      </c>
    </row>
    <row r="4" spans="1:9" x14ac:dyDescent="0.35">
      <c r="A4" t="s">
        <v>45</v>
      </c>
      <c r="C4" t="s">
        <v>71</v>
      </c>
      <c r="D4" t="s">
        <v>60</v>
      </c>
      <c r="E4" s="10">
        <v>800000</v>
      </c>
      <c r="H4" t="s">
        <v>38</v>
      </c>
      <c r="I4" s="8">
        <v>0.92669999999999997</v>
      </c>
    </row>
    <row r="5" spans="1:9" x14ac:dyDescent="0.35">
      <c r="A5" t="s">
        <v>46</v>
      </c>
      <c r="C5" t="s">
        <v>72</v>
      </c>
      <c r="D5" t="s">
        <v>62</v>
      </c>
      <c r="E5" s="10">
        <v>40000</v>
      </c>
      <c r="H5" t="s">
        <v>39</v>
      </c>
      <c r="I5" t="s">
        <v>81</v>
      </c>
    </row>
    <row r="6" spans="1:9" x14ac:dyDescent="0.35">
      <c r="A6" t="s">
        <v>47</v>
      </c>
      <c r="C6" t="s">
        <v>70</v>
      </c>
      <c r="D6" t="s">
        <v>0</v>
      </c>
      <c r="E6">
        <v>30</v>
      </c>
      <c r="H6" t="s">
        <v>40</v>
      </c>
      <c r="I6" s="10">
        <v>2993242.17</v>
      </c>
    </row>
    <row r="7" spans="1:9" x14ac:dyDescent="0.35">
      <c r="A7" t="s">
        <v>48</v>
      </c>
      <c r="C7" t="s">
        <v>73</v>
      </c>
      <c r="D7" t="s">
        <v>1</v>
      </c>
      <c r="E7">
        <v>10000</v>
      </c>
      <c r="H7" t="s">
        <v>41</v>
      </c>
      <c r="I7" s="10">
        <v>3230001.26</v>
      </c>
    </row>
    <row r="8" spans="1:9" x14ac:dyDescent="0.35">
      <c r="A8" t="s">
        <v>49</v>
      </c>
      <c r="C8" t="s">
        <v>74</v>
      </c>
      <c r="D8" t="s">
        <v>63</v>
      </c>
      <c r="E8" s="12">
        <v>0.6</v>
      </c>
    </row>
    <row r="9" spans="1:9" x14ac:dyDescent="0.35">
      <c r="A9" t="s">
        <v>50</v>
      </c>
      <c r="C9" t="s">
        <v>75</v>
      </c>
      <c r="D9" t="s">
        <v>64</v>
      </c>
      <c r="E9" s="8">
        <v>0.01</v>
      </c>
      <c r="H9" s="11" t="s">
        <v>42</v>
      </c>
    </row>
    <row r="10" spans="1:9" x14ac:dyDescent="0.35">
      <c r="A10" t="s">
        <v>80</v>
      </c>
      <c r="C10" t="s">
        <v>76</v>
      </c>
      <c r="D10" t="s">
        <v>65</v>
      </c>
      <c r="E10">
        <v>5</v>
      </c>
      <c r="H10" t="s">
        <v>7</v>
      </c>
      <c r="I10" s="10">
        <v>0</v>
      </c>
    </row>
    <row r="11" spans="1:9" x14ac:dyDescent="0.35">
      <c r="A11" t="s">
        <v>51</v>
      </c>
      <c r="C11" t="s">
        <v>77</v>
      </c>
      <c r="D11" t="s">
        <v>66</v>
      </c>
      <c r="E11" t="s">
        <v>67</v>
      </c>
      <c r="H11" t="s">
        <v>8</v>
      </c>
      <c r="I11" s="10">
        <v>201667.91</v>
      </c>
    </row>
    <row r="12" spans="1:9" x14ac:dyDescent="0.35">
      <c r="C12" t="s">
        <v>78</v>
      </c>
      <c r="D12" t="s">
        <v>68</v>
      </c>
      <c r="E12" s="10">
        <v>25000</v>
      </c>
      <c r="H12" t="s">
        <v>9</v>
      </c>
      <c r="I12" s="10">
        <v>1039281.85</v>
      </c>
    </row>
    <row r="13" spans="1:9" x14ac:dyDescent="0.35">
      <c r="A13" t="s">
        <v>52</v>
      </c>
      <c r="C13" t="s">
        <v>79</v>
      </c>
      <c r="D13" t="s">
        <v>69</v>
      </c>
      <c r="E13">
        <v>10</v>
      </c>
      <c r="H13" t="s">
        <v>10</v>
      </c>
      <c r="I13" s="10">
        <v>2282754.15</v>
      </c>
    </row>
    <row r="14" spans="1:9" x14ac:dyDescent="0.35">
      <c r="A14" t="s">
        <v>53</v>
      </c>
      <c r="H14" t="s">
        <v>11</v>
      </c>
      <c r="I14" s="10">
        <v>4138987.37</v>
      </c>
    </row>
    <row r="15" spans="1:9" x14ac:dyDescent="0.35">
      <c r="A15" t="s">
        <v>54</v>
      </c>
      <c r="H15" t="s">
        <v>12</v>
      </c>
      <c r="I15" s="10">
        <v>6514730.8600000003</v>
      </c>
    </row>
    <row r="16" spans="1:9" x14ac:dyDescent="0.35">
      <c r="A16" t="s">
        <v>55</v>
      </c>
      <c r="H16" t="s">
        <v>13</v>
      </c>
      <c r="I16" s="10">
        <v>8327312.3799999999</v>
      </c>
    </row>
    <row r="17" spans="1:1" x14ac:dyDescent="0.35">
      <c r="A17" t="s">
        <v>56</v>
      </c>
    </row>
    <row r="18" spans="1:1" x14ac:dyDescent="0.35">
      <c r="A18" t="s">
        <v>57</v>
      </c>
    </row>
    <row r="19" spans="1:1" x14ac:dyDescent="0.35">
      <c r="A19" t="s">
        <v>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RetirementSimulator">
                <anchor moveWithCells="1" sizeWithCells="1">
                  <from>
                    <xdr:col>0</xdr:col>
                    <xdr:colOff>50800</xdr:colOff>
                    <xdr:row>21</xdr:row>
                    <xdr:rowOff>19050</xdr:rowOff>
                  </from>
                  <to>
                    <xdr:col>1</xdr:col>
                    <xdr:colOff>12700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99"/>
  <sheetViews>
    <sheetView workbookViewId="0">
      <selection activeCell="E4" sqref="E4"/>
    </sheetView>
  </sheetViews>
  <sheetFormatPr defaultRowHeight="14.5" x14ac:dyDescent="0.35"/>
  <cols>
    <col min="1" max="1" width="7.26953125" customWidth="1"/>
    <col min="2" max="2" width="18.08984375" customWidth="1"/>
    <col min="3" max="3" width="15.1796875" customWidth="1"/>
    <col min="4" max="4" width="12.54296875" customWidth="1"/>
  </cols>
  <sheetData>
    <row r="1" spans="1:4" x14ac:dyDescent="0.35">
      <c r="A1" t="s">
        <v>2</v>
      </c>
      <c r="B1" t="s">
        <v>3</v>
      </c>
      <c r="C1" t="s">
        <v>4</v>
      </c>
      <c r="D1" t="s">
        <v>14</v>
      </c>
    </row>
    <row r="2" spans="1:4" ht="15.5" x14ac:dyDescent="0.35">
      <c r="A2" s="1">
        <v>1928</v>
      </c>
      <c r="B2">
        <v>0.43811155152887893</v>
      </c>
      <c r="C2">
        <v>-1.15607E-2</v>
      </c>
      <c r="D2">
        <v>8.354708589799302E-3</v>
      </c>
    </row>
    <row r="3" spans="1:4" ht="15.5" x14ac:dyDescent="0.35">
      <c r="A3" s="2">
        <v>1929</v>
      </c>
      <c r="B3">
        <v>-8.2979466119096595E-2</v>
      </c>
      <c r="C3">
        <v>5.8479999999999999E-3</v>
      </c>
      <c r="D3">
        <v>4.2038041563204259E-2</v>
      </c>
    </row>
    <row r="4" spans="1:4" ht="15.5" x14ac:dyDescent="0.35">
      <c r="A4" s="1">
        <v>1930</v>
      </c>
      <c r="B4">
        <v>-0.25123636363636365</v>
      </c>
      <c r="C4">
        <v>-6.3953499999999996E-2</v>
      </c>
      <c r="D4">
        <v>4.5409314348970366E-2</v>
      </c>
    </row>
    <row r="5" spans="1:4" ht="15.5" x14ac:dyDescent="0.35">
      <c r="A5" s="2">
        <v>1931</v>
      </c>
      <c r="B5">
        <v>-0.43837548891786188</v>
      </c>
      <c r="C5">
        <v>-9.3167700000000006E-2</v>
      </c>
      <c r="D5">
        <v>-2.5588559619422531E-2</v>
      </c>
    </row>
    <row r="6" spans="1:4" ht="15.5" x14ac:dyDescent="0.35">
      <c r="A6" s="1">
        <v>1932</v>
      </c>
      <c r="B6">
        <v>-8.642364532019696E-2</v>
      </c>
      <c r="C6">
        <v>-0.1027397</v>
      </c>
      <c r="D6">
        <v>8.7903069904773257E-2</v>
      </c>
    </row>
    <row r="7" spans="1:4" ht="15.5" x14ac:dyDescent="0.35">
      <c r="A7" s="2">
        <v>1933</v>
      </c>
      <c r="B7">
        <v>0.49982225433526023</v>
      </c>
      <c r="C7">
        <v>7.6336000000000008E-3</v>
      </c>
      <c r="D7">
        <v>1.8552720891857361E-2</v>
      </c>
    </row>
    <row r="8" spans="1:4" ht="15.5" x14ac:dyDescent="0.35">
      <c r="A8" s="1">
        <v>1934</v>
      </c>
      <c r="B8">
        <v>-1.1885656970912803E-2</v>
      </c>
      <c r="C8">
        <v>1.51515E-2</v>
      </c>
      <c r="D8">
        <v>7.9634426179656104E-2</v>
      </c>
    </row>
    <row r="9" spans="1:4" ht="15.5" x14ac:dyDescent="0.35">
      <c r="A9" s="2">
        <v>1935</v>
      </c>
      <c r="B9">
        <v>0.46740421052631581</v>
      </c>
      <c r="C9">
        <v>2.9850699999999997E-2</v>
      </c>
      <c r="D9">
        <v>4.4720477296566127E-2</v>
      </c>
    </row>
    <row r="10" spans="1:4" ht="15.5" x14ac:dyDescent="0.35">
      <c r="A10" s="1">
        <v>1936</v>
      </c>
      <c r="B10">
        <v>0.31943410275502609</v>
      </c>
      <c r="C10">
        <v>1.4492799999999998E-2</v>
      </c>
      <c r="D10">
        <v>5.0178754045450601E-2</v>
      </c>
    </row>
    <row r="11" spans="1:4" ht="15.5" x14ac:dyDescent="0.35">
      <c r="A11" s="2">
        <v>1937</v>
      </c>
      <c r="B11">
        <v>-0.35336728754365537</v>
      </c>
      <c r="C11">
        <v>2.8571399999999997E-2</v>
      </c>
      <c r="D11">
        <v>1.379146059646038E-2</v>
      </c>
    </row>
    <row r="12" spans="1:4" ht="15.5" x14ac:dyDescent="0.35">
      <c r="A12" s="1">
        <v>1938</v>
      </c>
      <c r="B12">
        <v>0.29282654028436017</v>
      </c>
      <c r="C12">
        <v>-2.7777799999999998E-2</v>
      </c>
      <c r="D12">
        <v>4.2132485322046068E-2</v>
      </c>
    </row>
    <row r="13" spans="1:4" ht="15.5" x14ac:dyDescent="0.35">
      <c r="A13" s="2">
        <v>1939</v>
      </c>
      <c r="B13">
        <v>-1.0975646879756443E-2</v>
      </c>
      <c r="C13">
        <v>0</v>
      </c>
      <c r="D13">
        <v>4.4122613942060671E-2</v>
      </c>
    </row>
    <row r="14" spans="1:4" ht="15.5" x14ac:dyDescent="0.35">
      <c r="A14" s="1">
        <v>1940</v>
      </c>
      <c r="B14">
        <v>-0.10672873194221515</v>
      </c>
      <c r="C14">
        <v>7.1428999999999998E-3</v>
      </c>
      <c r="D14">
        <v>5.4024815962845509E-2</v>
      </c>
    </row>
    <row r="15" spans="1:4" ht="15.5" x14ac:dyDescent="0.35">
      <c r="A15" s="2">
        <v>1941</v>
      </c>
      <c r="B15">
        <v>-0.12771455576559551</v>
      </c>
      <c r="C15">
        <v>9.9290800000000012E-2</v>
      </c>
      <c r="D15">
        <v>-2.0221975848580105E-2</v>
      </c>
    </row>
    <row r="16" spans="1:4" ht="15.5" x14ac:dyDescent="0.35">
      <c r="A16" s="1">
        <v>1942</v>
      </c>
      <c r="B16">
        <v>0.19173762945914843</v>
      </c>
      <c r="C16">
        <v>9.0322600000000003E-2</v>
      </c>
      <c r="D16">
        <v>2.2948682374484164E-2</v>
      </c>
    </row>
    <row r="17" spans="1:4" ht="15.5" x14ac:dyDescent="0.35">
      <c r="A17" s="2">
        <v>1943</v>
      </c>
      <c r="B17">
        <v>0.25061310133060394</v>
      </c>
      <c r="C17">
        <v>2.9585799999999999E-2</v>
      </c>
      <c r="D17">
        <v>2.4899999999999999E-2</v>
      </c>
    </row>
    <row r="18" spans="1:4" ht="15.5" x14ac:dyDescent="0.35">
      <c r="A18" s="1">
        <v>1944</v>
      </c>
      <c r="B18">
        <v>0.19030676949443009</v>
      </c>
      <c r="C18">
        <v>2.2988499999999999E-2</v>
      </c>
      <c r="D18">
        <v>2.5776111579070303E-2</v>
      </c>
    </row>
    <row r="19" spans="1:4" ht="15.5" x14ac:dyDescent="0.35">
      <c r="A19" s="2">
        <v>1945</v>
      </c>
      <c r="B19">
        <v>0.35821084337349401</v>
      </c>
      <c r="C19">
        <v>2.24719E-2</v>
      </c>
      <c r="D19">
        <v>3.8044173419237229E-2</v>
      </c>
    </row>
    <row r="20" spans="1:4" ht="15.5" x14ac:dyDescent="0.35">
      <c r="A20" s="1">
        <v>1946</v>
      </c>
      <c r="B20">
        <v>-8.4291474654377807E-2</v>
      </c>
      <c r="C20">
        <v>0.1813187</v>
      </c>
      <c r="D20">
        <v>3.1283745375695685E-2</v>
      </c>
    </row>
    <row r="21" spans="1:4" ht="15.5" x14ac:dyDescent="0.35">
      <c r="A21" s="2">
        <v>1947</v>
      </c>
      <c r="B21">
        <v>5.1999999999999998E-2</v>
      </c>
      <c r="C21">
        <v>8.8372100000000009E-2</v>
      </c>
      <c r="D21">
        <v>9.1969680628322358E-3</v>
      </c>
    </row>
    <row r="22" spans="1:4" ht="15.5" x14ac:dyDescent="0.35">
      <c r="A22" s="1">
        <v>1948</v>
      </c>
      <c r="B22">
        <v>5.7045751633986834E-2</v>
      </c>
      <c r="C22">
        <v>2.99145E-2</v>
      </c>
      <c r="D22">
        <v>1.9510369413175046E-2</v>
      </c>
    </row>
    <row r="23" spans="1:4" ht="15.5" x14ac:dyDescent="0.35">
      <c r="A23" s="2">
        <v>1949</v>
      </c>
      <c r="B23">
        <v>0.18303223684210526</v>
      </c>
      <c r="C23">
        <v>-2.0746899999999999E-2</v>
      </c>
      <c r="D23">
        <v>4.6634851827973139E-2</v>
      </c>
    </row>
    <row r="24" spans="1:4" ht="15.5" x14ac:dyDescent="0.35">
      <c r="A24" s="1">
        <v>1950</v>
      </c>
      <c r="B24">
        <v>0.30805539011316263</v>
      </c>
      <c r="C24">
        <v>5.9322E-2</v>
      </c>
      <c r="D24">
        <v>4.2959574171096103E-3</v>
      </c>
    </row>
    <row r="25" spans="1:4" ht="15.5" x14ac:dyDescent="0.35">
      <c r="A25" s="2">
        <v>1951</v>
      </c>
      <c r="B25">
        <v>0.23678463044542339</v>
      </c>
      <c r="C25">
        <v>0.06</v>
      </c>
      <c r="D25">
        <v>-2.9531392208319886E-3</v>
      </c>
    </row>
    <row r="26" spans="1:4" ht="15.5" x14ac:dyDescent="0.35">
      <c r="A26" s="1">
        <v>1952</v>
      </c>
      <c r="B26">
        <v>0.18150988641144306</v>
      </c>
      <c r="C26">
        <v>7.5471999999999996E-3</v>
      </c>
      <c r="D26">
        <v>2.2679961918305656E-2</v>
      </c>
    </row>
    <row r="27" spans="1:4" ht="15.5" x14ac:dyDescent="0.35">
      <c r="A27" s="2">
        <v>1953</v>
      </c>
      <c r="B27">
        <v>-1.2082047421904465E-2</v>
      </c>
      <c r="C27">
        <v>7.4905999999999992E-3</v>
      </c>
      <c r="D27">
        <v>4.1438402589088513E-2</v>
      </c>
    </row>
    <row r="28" spans="1:4" ht="15.5" x14ac:dyDescent="0.35">
      <c r="A28" s="1">
        <v>1954</v>
      </c>
      <c r="B28">
        <v>0.52563321241434902</v>
      </c>
      <c r="C28">
        <v>-7.4348999999999995E-3</v>
      </c>
      <c r="D28">
        <v>3.2898034558095555E-2</v>
      </c>
    </row>
    <row r="29" spans="1:4" ht="15.5" x14ac:dyDescent="0.35">
      <c r="A29" s="2">
        <v>1955</v>
      </c>
      <c r="B29">
        <v>0.32597331851028349</v>
      </c>
      <c r="C29">
        <v>3.7452999999999996E-3</v>
      </c>
      <c r="D29">
        <v>-1.3364391288618781E-2</v>
      </c>
    </row>
    <row r="30" spans="1:4" ht="15.5" x14ac:dyDescent="0.35">
      <c r="A30" s="1">
        <v>1956</v>
      </c>
      <c r="B30">
        <v>7.4395118733509347E-2</v>
      </c>
      <c r="C30">
        <v>2.9850699999999997E-2</v>
      </c>
      <c r="D30">
        <v>-2.2557738173154165E-2</v>
      </c>
    </row>
    <row r="31" spans="1:4" ht="15.5" x14ac:dyDescent="0.35">
      <c r="A31" s="2">
        <v>1957</v>
      </c>
      <c r="B31">
        <v>-0.1045736018855796</v>
      </c>
      <c r="C31">
        <v>2.8985500000000001E-2</v>
      </c>
      <c r="D31">
        <v>6.7970128466249904E-2</v>
      </c>
    </row>
    <row r="32" spans="1:4" ht="15.5" x14ac:dyDescent="0.35">
      <c r="A32" s="1">
        <v>1958</v>
      </c>
      <c r="B32">
        <v>0.43719954988747184</v>
      </c>
      <c r="C32">
        <v>1.7605599999999999E-2</v>
      </c>
      <c r="D32">
        <v>-2.0990181755274694E-2</v>
      </c>
    </row>
    <row r="33" spans="1:4" ht="15.5" x14ac:dyDescent="0.35">
      <c r="A33" s="2">
        <v>1959</v>
      </c>
      <c r="B33">
        <v>0.12056457163557326</v>
      </c>
      <c r="C33">
        <v>1.7301E-2</v>
      </c>
      <c r="D33">
        <v>-2.6466312591385065E-2</v>
      </c>
    </row>
    <row r="34" spans="1:4" ht="15.5" x14ac:dyDescent="0.35">
      <c r="A34" s="1">
        <v>1960</v>
      </c>
      <c r="B34">
        <v>3.36535314743695E-3</v>
      </c>
      <c r="C34">
        <v>1.36054E-2</v>
      </c>
      <c r="D34">
        <v>0.11639503690963365</v>
      </c>
    </row>
    <row r="35" spans="1:4" ht="15.5" x14ac:dyDescent="0.35">
      <c r="A35" s="2">
        <v>1961</v>
      </c>
      <c r="B35">
        <v>0.26637712958182752</v>
      </c>
      <c r="C35">
        <v>6.7113999999999993E-3</v>
      </c>
      <c r="D35">
        <v>2.0609208076323167E-2</v>
      </c>
    </row>
    <row r="36" spans="1:4" ht="15.5" x14ac:dyDescent="0.35">
      <c r="A36" s="1">
        <v>1962</v>
      </c>
      <c r="B36">
        <v>-8.8114605171208879E-2</v>
      </c>
      <c r="C36">
        <v>1.3333299999999999E-2</v>
      </c>
      <c r="D36">
        <v>5.693544054008462E-2</v>
      </c>
    </row>
    <row r="37" spans="1:4" ht="15.5" x14ac:dyDescent="0.35">
      <c r="A37" s="2">
        <v>1963</v>
      </c>
      <c r="B37">
        <v>0.22611927099841514</v>
      </c>
      <c r="C37">
        <v>1.6447400000000001E-2</v>
      </c>
      <c r="D37">
        <v>1.6841620739546127E-2</v>
      </c>
    </row>
    <row r="38" spans="1:4" ht="15.5" x14ac:dyDescent="0.35">
      <c r="A38" s="1">
        <v>1964</v>
      </c>
      <c r="B38">
        <v>0.16415455878432425</v>
      </c>
      <c r="C38">
        <v>9.7087000000000007E-3</v>
      </c>
      <c r="D38">
        <v>3.7280648911540815E-2</v>
      </c>
    </row>
    <row r="39" spans="1:4" ht="15.5" x14ac:dyDescent="0.35">
      <c r="A39" s="2">
        <v>1965</v>
      </c>
      <c r="B39">
        <v>0.12399242477876114</v>
      </c>
      <c r="C39">
        <v>1.9230799999999999E-2</v>
      </c>
      <c r="D39">
        <v>7.1885509359262342E-3</v>
      </c>
    </row>
    <row r="40" spans="1:4" ht="15.5" x14ac:dyDescent="0.35">
      <c r="A40" s="1">
        <v>1966</v>
      </c>
      <c r="B40">
        <v>-9.9709542356377898E-2</v>
      </c>
      <c r="C40">
        <v>3.4591200000000003E-2</v>
      </c>
      <c r="D40">
        <v>2.9079409324299622E-2</v>
      </c>
    </row>
    <row r="41" spans="1:4" ht="15.5" x14ac:dyDescent="0.35">
      <c r="A41" s="2">
        <v>1967</v>
      </c>
      <c r="B41">
        <v>0.23802966513133328</v>
      </c>
      <c r="C41">
        <v>3.0395099999999998E-2</v>
      </c>
      <c r="D41">
        <v>-1.5806209932824666E-2</v>
      </c>
    </row>
    <row r="42" spans="1:4" ht="15.5" x14ac:dyDescent="0.35">
      <c r="A42" s="1">
        <v>1968</v>
      </c>
      <c r="B42">
        <v>0.10814862651601535</v>
      </c>
      <c r="C42">
        <v>4.7197599999999999E-2</v>
      </c>
      <c r="D42">
        <v>3.2746196950768365E-2</v>
      </c>
    </row>
    <row r="43" spans="1:4" ht="15.5" x14ac:dyDescent="0.35">
      <c r="A43" s="2">
        <v>1969</v>
      </c>
      <c r="B43">
        <v>-8.2413710764490639E-2</v>
      </c>
      <c r="C43">
        <v>6.19718E-2</v>
      </c>
      <c r="D43">
        <v>-5.0140493209926106E-2</v>
      </c>
    </row>
    <row r="44" spans="1:4" ht="15.5" x14ac:dyDescent="0.35">
      <c r="A44" s="1">
        <v>1970</v>
      </c>
      <c r="B44">
        <v>3.5611449054964189E-2</v>
      </c>
      <c r="C44">
        <v>5.57029E-2</v>
      </c>
      <c r="D44">
        <v>0.16754737183412338</v>
      </c>
    </row>
    <row r="45" spans="1:4" ht="15.5" x14ac:dyDescent="0.35">
      <c r="A45" s="2">
        <v>1971</v>
      </c>
      <c r="B45">
        <v>0.14221150298426474</v>
      </c>
      <c r="C45">
        <v>3.2663299999999999E-2</v>
      </c>
      <c r="D45">
        <v>9.7868966197122972E-2</v>
      </c>
    </row>
    <row r="46" spans="1:4" ht="15.5" x14ac:dyDescent="0.35">
      <c r="A46" s="1">
        <v>1972</v>
      </c>
      <c r="B46">
        <v>0.18755362915074925</v>
      </c>
      <c r="C46">
        <v>3.4063299999999998E-2</v>
      </c>
      <c r="D46">
        <v>2.818449050444969E-2</v>
      </c>
    </row>
    <row r="47" spans="1:4" ht="15.5" x14ac:dyDescent="0.35">
      <c r="A47" s="2">
        <v>1973</v>
      </c>
      <c r="B47">
        <v>-0.14308047437526472</v>
      </c>
      <c r="C47">
        <v>8.7058800000000006E-2</v>
      </c>
      <c r="D47">
        <v>3.6586646024150085E-2</v>
      </c>
    </row>
    <row r="48" spans="1:4" ht="15.5" x14ac:dyDescent="0.35">
      <c r="A48" s="1">
        <v>1974</v>
      </c>
      <c r="B48">
        <v>-0.25901785750896972</v>
      </c>
      <c r="C48">
        <v>0.1233766</v>
      </c>
      <c r="D48">
        <v>1.9886086932378574E-2</v>
      </c>
    </row>
    <row r="49" spans="1:4" ht="15.5" x14ac:dyDescent="0.35">
      <c r="A49" s="2">
        <v>1975</v>
      </c>
      <c r="B49">
        <v>0.36995137106184356</v>
      </c>
      <c r="C49">
        <v>6.9364200000000001E-2</v>
      </c>
      <c r="D49">
        <v>3.6052536026033838E-2</v>
      </c>
    </row>
    <row r="50" spans="1:4" ht="15.5" x14ac:dyDescent="0.35">
      <c r="A50" s="1">
        <v>1976</v>
      </c>
      <c r="B50">
        <v>0.23830999002106662</v>
      </c>
      <c r="C50">
        <v>4.86486E-2</v>
      </c>
      <c r="D50">
        <v>0.1598456074290921</v>
      </c>
    </row>
    <row r="51" spans="1:4" ht="15.5" x14ac:dyDescent="0.35">
      <c r="A51" s="2">
        <v>1977</v>
      </c>
      <c r="B51">
        <v>-6.9797040759352322E-2</v>
      </c>
      <c r="C51">
        <v>6.7010300000000009E-2</v>
      </c>
      <c r="D51">
        <v>1.2899606071070449E-2</v>
      </c>
    </row>
    <row r="52" spans="1:4" ht="15.5" x14ac:dyDescent="0.35">
      <c r="A52" s="1">
        <v>1978</v>
      </c>
      <c r="B52">
        <v>6.50928391167193E-2</v>
      </c>
      <c r="C52">
        <v>9.0177099999999996E-2</v>
      </c>
      <c r="D52">
        <v>-7.7758069075086478E-3</v>
      </c>
    </row>
    <row r="53" spans="1:4" ht="15.5" x14ac:dyDescent="0.35">
      <c r="A53" s="2">
        <v>1979</v>
      </c>
      <c r="B53">
        <v>0.18519490167516386</v>
      </c>
      <c r="C53">
        <v>0.13293939999999999</v>
      </c>
      <c r="D53">
        <v>6.7072031247235459E-3</v>
      </c>
    </row>
    <row r="54" spans="1:4" ht="15.5" x14ac:dyDescent="0.35">
      <c r="A54" s="1">
        <v>1980</v>
      </c>
      <c r="B54">
        <v>0.3173524550676301</v>
      </c>
      <c r="C54">
        <v>0.125163</v>
      </c>
      <c r="D54">
        <v>-2.989744251999403E-2</v>
      </c>
    </row>
    <row r="55" spans="1:4" ht="15.5" x14ac:dyDescent="0.35">
      <c r="A55" s="2">
        <v>1981</v>
      </c>
      <c r="B55">
        <v>-4.7023902474955762E-2</v>
      </c>
      <c r="C55">
        <v>8.92236E-2</v>
      </c>
      <c r="D55">
        <v>8.1992153358923542E-2</v>
      </c>
    </row>
    <row r="56" spans="1:4" ht="15.5" x14ac:dyDescent="0.35">
      <c r="A56" s="1">
        <v>1982</v>
      </c>
      <c r="B56">
        <v>0.20419055079559353</v>
      </c>
      <c r="C56">
        <v>3.8297900000000003E-2</v>
      </c>
      <c r="D56">
        <v>0.32814549486295586</v>
      </c>
    </row>
    <row r="57" spans="1:4" ht="15.5" x14ac:dyDescent="0.35">
      <c r="A57" s="2">
        <v>1983</v>
      </c>
      <c r="B57">
        <v>0.22337155858930619</v>
      </c>
      <c r="C57">
        <v>3.79098E-2</v>
      </c>
      <c r="D57">
        <v>3.2002094451429264E-2</v>
      </c>
    </row>
    <row r="58" spans="1:4" ht="15.5" x14ac:dyDescent="0.35">
      <c r="A58" s="1">
        <v>1984</v>
      </c>
      <c r="B58">
        <v>6.14614199963621E-2</v>
      </c>
      <c r="C58">
        <v>3.94867E-2</v>
      </c>
      <c r="D58">
        <v>0.13733364344102345</v>
      </c>
    </row>
    <row r="59" spans="1:4" ht="15.5" x14ac:dyDescent="0.35">
      <c r="A59" s="2">
        <v>1985</v>
      </c>
      <c r="B59">
        <v>0.31235149485768948</v>
      </c>
      <c r="C59">
        <v>3.7986699999999998E-2</v>
      </c>
      <c r="D59">
        <v>0.2571248821260641</v>
      </c>
    </row>
    <row r="60" spans="1:4" ht="15.5" x14ac:dyDescent="0.35">
      <c r="A60" s="1">
        <v>1986</v>
      </c>
      <c r="B60">
        <v>0.18494578758046187</v>
      </c>
      <c r="C60">
        <v>1.0979000000000001E-2</v>
      </c>
      <c r="D60">
        <v>0.24284215141767618</v>
      </c>
    </row>
    <row r="61" spans="1:4" ht="15.5" x14ac:dyDescent="0.35">
      <c r="A61" s="2">
        <v>1987</v>
      </c>
      <c r="B61">
        <v>5.8127216418218712E-2</v>
      </c>
      <c r="C61">
        <v>4.4343899999999999E-2</v>
      </c>
      <c r="D61">
        <v>-4.9605089379262279E-2</v>
      </c>
    </row>
    <row r="62" spans="1:4" ht="15.5" x14ac:dyDescent="0.35">
      <c r="A62" s="1">
        <v>1988</v>
      </c>
      <c r="B62">
        <v>0.16537192812044688</v>
      </c>
      <c r="C62">
        <v>4.41941E-2</v>
      </c>
      <c r="D62">
        <v>8.2235958434841674E-2</v>
      </c>
    </row>
    <row r="63" spans="1:4" ht="15.5" x14ac:dyDescent="0.35">
      <c r="A63" s="2">
        <v>1989</v>
      </c>
      <c r="B63">
        <v>0.31475183638196724</v>
      </c>
      <c r="C63">
        <v>4.6473000000000007E-2</v>
      </c>
      <c r="D63">
        <v>0.17693647159446219</v>
      </c>
    </row>
    <row r="64" spans="1:4" ht="15.5" x14ac:dyDescent="0.35">
      <c r="A64" s="1">
        <v>1990</v>
      </c>
      <c r="B64">
        <v>-3.0644516129032118E-2</v>
      </c>
      <c r="C64">
        <v>6.1062599999999995E-2</v>
      </c>
      <c r="D64">
        <v>6.2353753335533363E-2</v>
      </c>
    </row>
    <row r="65" spans="1:4" ht="15.5" x14ac:dyDescent="0.35">
      <c r="A65" s="2">
        <v>1991</v>
      </c>
      <c r="B65">
        <v>0.30234843134879757</v>
      </c>
      <c r="C65">
        <v>3.0642800000000001E-2</v>
      </c>
      <c r="D65">
        <v>0.15004510019517303</v>
      </c>
    </row>
    <row r="66" spans="1:4" ht="15.5" x14ac:dyDescent="0.35">
      <c r="A66" s="1">
        <v>1992</v>
      </c>
      <c r="B66">
        <v>7.493727972380064E-2</v>
      </c>
      <c r="C66">
        <v>2.9006500000000001E-2</v>
      </c>
      <c r="D66">
        <v>9.3616373162079422E-2</v>
      </c>
    </row>
    <row r="67" spans="1:4" ht="15.5" x14ac:dyDescent="0.35">
      <c r="A67" s="2">
        <v>1993</v>
      </c>
      <c r="B67">
        <v>9.96705147919488E-2</v>
      </c>
      <c r="C67">
        <v>2.7484099999999997E-2</v>
      </c>
      <c r="D67">
        <v>0.14210957589263107</v>
      </c>
    </row>
    <row r="68" spans="1:4" ht="15.5" x14ac:dyDescent="0.35">
      <c r="A68" s="1">
        <v>1994</v>
      </c>
      <c r="B68">
        <v>1.3259206774573897E-2</v>
      </c>
      <c r="C68">
        <v>2.6749000000000002E-2</v>
      </c>
      <c r="D68">
        <v>-8.0366555509985921E-2</v>
      </c>
    </row>
    <row r="69" spans="1:4" ht="15.5" x14ac:dyDescent="0.35">
      <c r="A69" s="2">
        <v>1995</v>
      </c>
      <c r="B69">
        <v>0.37195198902606308</v>
      </c>
      <c r="C69">
        <v>2.53841E-2</v>
      </c>
      <c r="D69">
        <v>0.23480780112538907</v>
      </c>
    </row>
    <row r="70" spans="1:4" ht="15.5" x14ac:dyDescent="0.35">
      <c r="A70" s="1">
        <v>1996</v>
      </c>
      <c r="B70">
        <v>0.22680966018865789</v>
      </c>
      <c r="C70">
        <v>3.3224799999999999E-2</v>
      </c>
      <c r="D70">
        <v>1.428607793401844E-2</v>
      </c>
    </row>
    <row r="71" spans="1:4" ht="15.5" x14ac:dyDescent="0.35">
      <c r="A71" s="2">
        <v>1997</v>
      </c>
      <c r="B71">
        <v>0.33103653103653097</v>
      </c>
      <c r="C71">
        <v>1.7023999999999997E-2</v>
      </c>
      <c r="D71">
        <v>9.939130272977531E-2</v>
      </c>
    </row>
    <row r="72" spans="1:4" ht="15.5" x14ac:dyDescent="0.35">
      <c r="A72" s="1">
        <v>1998</v>
      </c>
      <c r="B72">
        <v>0.28337953278443584</v>
      </c>
      <c r="C72">
        <v>1.6119000000000001E-2</v>
      </c>
      <c r="D72">
        <v>0.14921431922606215</v>
      </c>
    </row>
    <row r="73" spans="1:4" ht="15.5" x14ac:dyDescent="0.35">
      <c r="A73" s="2">
        <v>1999</v>
      </c>
      <c r="B73">
        <v>0.20885350992084475</v>
      </c>
      <c r="C73">
        <v>2.6845599999999997E-2</v>
      </c>
      <c r="D73">
        <v>-8.2542147962685761E-2</v>
      </c>
    </row>
    <row r="74" spans="1:4" ht="15.5" x14ac:dyDescent="0.35">
      <c r="A74" s="1">
        <v>2000</v>
      </c>
      <c r="B74">
        <v>-9.0318189552492781E-2</v>
      </c>
      <c r="C74">
        <v>3.3868099999999998E-2</v>
      </c>
      <c r="D74">
        <v>0.16655267125397488</v>
      </c>
    </row>
    <row r="75" spans="1:4" ht="15.5" x14ac:dyDescent="0.35">
      <c r="A75" s="2">
        <v>2001</v>
      </c>
      <c r="B75">
        <v>-0.11849759142000185</v>
      </c>
      <c r="C75">
        <v>1.55172E-2</v>
      </c>
      <c r="D75">
        <v>5.5721811892492555E-2</v>
      </c>
    </row>
    <row r="76" spans="1:4" ht="15.5" x14ac:dyDescent="0.35">
      <c r="A76" s="1">
        <v>2002</v>
      </c>
      <c r="B76">
        <v>-0.21966047957912699</v>
      </c>
      <c r="C76">
        <v>2.3769100000000001E-2</v>
      </c>
      <c r="D76">
        <v>0.15116400378109285</v>
      </c>
    </row>
    <row r="77" spans="1:4" ht="15.5" x14ac:dyDescent="0.35">
      <c r="A77" s="2">
        <v>2003</v>
      </c>
      <c r="B77">
        <v>0.28355800050010233</v>
      </c>
      <c r="C77">
        <v>1.87949E-2</v>
      </c>
      <c r="D77">
        <v>3.7531858817758529E-3</v>
      </c>
    </row>
    <row r="78" spans="1:4" ht="15.5" x14ac:dyDescent="0.35">
      <c r="A78" s="1">
        <v>2004</v>
      </c>
      <c r="B78">
        <v>0.10742775944096193</v>
      </c>
      <c r="C78">
        <v>3.2555599999999997E-2</v>
      </c>
      <c r="D78">
        <v>4.490683702274547E-2</v>
      </c>
    </row>
    <row r="79" spans="1:4" ht="15.5" x14ac:dyDescent="0.35">
      <c r="A79" s="2">
        <v>2005</v>
      </c>
      <c r="B79">
        <v>4.8344775232688535E-2</v>
      </c>
      <c r="C79">
        <v>3.4156600000000002E-2</v>
      </c>
      <c r="D79">
        <v>2.8675329597779506E-2</v>
      </c>
    </row>
    <row r="80" spans="1:4" ht="15.5" x14ac:dyDescent="0.35">
      <c r="A80" s="1">
        <v>2006</v>
      </c>
      <c r="B80">
        <v>0.15612557979315703</v>
      </c>
      <c r="C80">
        <v>2.5406499999999999E-2</v>
      </c>
      <c r="D80">
        <v>1.9610012417568386E-2</v>
      </c>
    </row>
    <row r="81" spans="1:4" ht="15.5" x14ac:dyDescent="0.35">
      <c r="A81" s="2">
        <v>2007</v>
      </c>
      <c r="B81">
        <v>5.4847352464217694E-2</v>
      </c>
      <c r="C81">
        <v>4.08127E-2</v>
      </c>
      <c r="D81">
        <v>0.10209921930012807</v>
      </c>
    </row>
    <row r="82" spans="1:4" ht="15.5" x14ac:dyDescent="0.35">
      <c r="A82" s="1">
        <v>2008</v>
      </c>
      <c r="B82">
        <v>-0.36552344111798191</v>
      </c>
      <c r="C82">
        <v>9.1410000000000005E-4</v>
      </c>
      <c r="D82">
        <v>0.20101279926977011</v>
      </c>
    </row>
    <row r="83" spans="1:4" ht="15.5" x14ac:dyDescent="0.35">
      <c r="A83" s="2">
        <v>2009</v>
      </c>
      <c r="B83">
        <v>0.25935233877663982</v>
      </c>
      <c r="C83">
        <v>2.7213299999999999E-2</v>
      </c>
      <c r="D83">
        <v>-0.11116695313259162</v>
      </c>
    </row>
    <row r="84" spans="1:4" ht="15.5" x14ac:dyDescent="0.35">
      <c r="A84" s="1">
        <v>2010</v>
      </c>
      <c r="B84">
        <v>0.14821092278719414</v>
      </c>
      <c r="C84">
        <v>1.4957199999999999E-2</v>
      </c>
      <c r="D84">
        <v>8.4629338803557719E-2</v>
      </c>
    </row>
    <row r="85" spans="1:4" ht="15.5" x14ac:dyDescent="0.35">
      <c r="A85" s="2">
        <v>2011</v>
      </c>
      <c r="B85">
        <v>2.09837473362805E-2</v>
      </c>
      <c r="C85">
        <v>2.96242E-2</v>
      </c>
      <c r="D85">
        <v>0.16035334999461354</v>
      </c>
    </row>
    <row r="86" spans="1:4" ht="15.5" x14ac:dyDescent="0.35">
      <c r="A86" s="1">
        <v>2012</v>
      </c>
      <c r="B86">
        <v>0.15890585241730293</v>
      </c>
      <c r="C86">
        <v>1.7410200000000001E-2</v>
      </c>
      <c r="D86">
        <v>2.971571978018946E-2</v>
      </c>
    </row>
    <row r="87" spans="1:4" ht="15.5" x14ac:dyDescent="0.35">
      <c r="A87" s="2">
        <v>2013</v>
      </c>
      <c r="B87">
        <v>0.32145085858125483</v>
      </c>
      <c r="C87">
        <v>1.50174E-2</v>
      </c>
      <c r="D87">
        <v>-9.104568794347262E-2</v>
      </c>
    </row>
    <row r="88" spans="1:4" ht="15.5" x14ac:dyDescent="0.35">
      <c r="A88" s="1">
        <v>2014</v>
      </c>
      <c r="B88">
        <v>0.13524421649462237</v>
      </c>
      <c r="C88">
        <v>7.5649000000000003E-3</v>
      </c>
      <c r="D88">
        <v>0.10746180452004755</v>
      </c>
    </row>
    <row r="89" spans="1:4" ht="15.5" x14ac:dyDescent="0.35">
      <c r="A89" s="3">
        <v>2015</v>
      </c>
      <c r="B89">
        <v>1.3788916411676138E-2</v>
      </c>
      <c r="C89">
        <v>7.2951999999999991E-3</v>
      </c>
      <c r="D89">
        <v>1.2842996709792224E-2</v>
      </c>
    </row>
    <row r="90" spans="1:4" ht="15.5" x14ac:dyDescent="0.35">
      <c r="A90" s="4">
        <v>2016</v>
      </c>
      <c r="B90">
        <v>0.11773080874798171</v>
      </c>
      <c r="C90">
        <v>2.0746199999999999E-2</v>
      </c>
      <c r="D90">
        <v>6.9055046987477921E-3</v>
      </c>
    </row>
    <row r="91" spans="1:4" ht="15.5" x14ac:dyDescent="0.35">
      <c r="A91" s="5">
        <v>2017</v>
      </c>
      <c r="B91">
        <v>0.2160548143449928</v>
      </c>
      <c r="C91">
        <v>2.10908E-2</v>
      </c>
      <c r="D91">
        <v>2.8017162707789457E-2</v>
      </c>
    </row>
    <row r="92" spans="1:4" ht="15.5" x14ac:dyDescent="0.35">
      <c r="A92" s="4">
        <v>2018</v>
      </c>
      <c r="B92">
        <v>-4.2268692890885438E-2</v>
      </c>
      <c r="C92">
        <v>1.91016E-2</v>
      </c>
      <c r="D92">
        <v>-1.6692385713402633E-4</v>
      </c>
    </row>
    <row r="93" spans="1:4" ht="15.5" x14ac:dyDescent="0.35">
      <c r="A93" s="2">
        <v>2019</v>
      </c>
      <c r="B93">
        <v>0.31211679996808755</v>
      </c>
      <c r="C93">
        <v>2.2851300000000001E-2</v>
      </c>
      <c r="D93">
        <v>9.6356307415483927E-2</v>
      </c>
    </row>
    <row r="94" spans="1:4" ht="15.5" x14ac:dyDescent="0.35">
      <c r="A94" s="4">
        <v>2020</v>
      </c>
      <c r="B94">
        <v>0.18023201827422478</v>
      </c>
      <c r="C94">
        <v>1.36201E-2</v>
      </c>
      <c r="D94">
        <v>0.1133189764661412</v>
      </c>
    </row>
    <row r="95" spans="1:4" ht="15.5" x14ac:dyDescent="0.35">
      <c r="A95" s="5">
        <v>2021</v>
      </c>
      <c r="B95">
        <v>0.28468851751964158</v>
      </c>
      <c r="C95">
        <v>7.036400000000001E-2</v>
      </c>
      <c r="D95">
        <v>-4.416034448604475E-2</v>
      </c>
    </row>
    <row r="96" spans="1:4" ht="15.5" x14ac:dyDescent="0.35">
      <c r="A96" s="4">
        <v>2022</v>
      </c>
      <c r="B96">
        <v>-0.18037505927178585</v>
      </c>
      <c r="C96">
        <v>6.454399999999999E-2</v>
      </c>
      <c r="D96">
        <v>-0.1782817153825067</v>
      </c>
    </row>
    <row r="97" spans="1:4" ht="15.5" x14ac:dyDescent="0.35">
      <c r="A97" s="5">
        <v>2023</v>
      </c>
      <c r="B97">
        <v>0.26060684985024096</v>
      </c>
      <c r="C97">
        <v>3.3521200000000001E-2</v>
      </c>
      <c r="D97">
        <v>3.8800000000000001E-2</v>
      </c>
    </row>
    <row r="98" spans="1:4" ht="15.5" x14ac:dyDescent="0.35">
      <c r="A98" s="6">
        <v>2024</v>
      </c>
      <c r="B98">
        <v>0.24878611262526726</v>
      </c>
      <c r="C98">
        <v>2.8880599999999999E-2</v>
      </c>
      <c r="D98">
        <v>-1.6371801436629807E-2</v>
      </c>
    </row>
    <row r="99" spans="1:4" ht="15.5" x14ac:dyDescent="0.35">
      <c r="A99" s="7">
        <v>2025</v>
      </c>
      <c r="B99">
        <v>0.17723658237597398</v>
      </c>
      <c r="C99">
        <v>2.7350799999999998E-2</v>
      </c>
      <c r="D99">
        <v>7.7954808707673962E-2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7A15-5CA6-4AE2-B58B-2480E487A685}">
  <sheetPr codeName="Sheet3"/>
  <dimension ref="A1:E15"/>
  <sheetViews>
    <sheetView zoomScale="77" workbookViewId="0"/>
  </sheetViews>
  <sheetFormatPr defaultRowHeight="14.5" x14ac:dyDescent="0.35"/>
  <cols>
    <col min="1" max="1" width="48" bestFit="1" customWidth="1"/>
    <col min="2" max="2" width="12.36328125" bestFit="1" customWidth="1"/>
    <col min="4" max="5" width="11.81640625" bestFit="1" customWidth="1"/>
  </cols>
  <sheetData>
    <row r="1" spans="1:5" ht="18.5" x14ac:dyDescent="0.45">
      <c r="A1" s="9" t="s">
        <v>15</v>
      </c>
    </row>
    <row r="3" spans="1:5" x14ac:dyDescent="0.35">
      <c r="A3" t="s">
        <v>5</v>
      </c>
      <c r="B3" s="8">
        <v>0.92669999999999997</v>
      </c>
    </row>
    <row r="4" spans="1:5" x14ac:dyDescent="0.35">
      <c r="A4" t="s">
        <v>6</v>
      </c>
      <c r="B4" t="s">
        <v>81</v>
      </c>
    </row>
    <row r="5" spans="1:5" x14ac:dyDescent="0.35">
      <c r="A5" t="s">
        <v>17</v>
      </c>
      <c r="B5" s="10">
        <v>2993242.1697404347</v>
      </c>
    </row>
    <row r="6" spans="1:5" x14ac:dyDescent="0.35">
      <c r="A6" t="s">
        <v>18</v>
      </c>
      <c r="B6" s="10">
        <v>3230001.2622644166</v>
      </c>
    </row>
    <row r="8" spans="1:5" x14ac:dyDescent="0.35">
      <c r="A8" t="s">
        <v>16</v>
      </c>
      <c r="D8" t="s">
        <v>32</v>
      </c>
      <c r="E8" t="s">
        <v>33</v>
      </c>
    </row>
    <row r="9" spans="1:5" x14ac:dyDescent="0.35">
      <c r="A9" t="s">
        <v>7</v>
      </c>
      <c r="B9" s="10">
        <v>0</v>
      </c>
      <c r="D9" t="s">
        <v>34</v>
      </c>
      <c r="E9">
        <v>2282754.1528176991</v>
      </c>
    </row>
    <row r="10" spans="1:5" x14ac:dyDescent="0.35">
      <c r="A10" t="s">
        <v>8</v>
      </c>
      <c r="B10" s="10">
        <v>201667.91407064733</v>
      </c>
      <c r="D10" t="s">
        <v>35</v>
      </c>
      <c r="E10">
        <v>0</v>
      </c>
    </row>
    <row r="11" spans="1:5" x14ac:dyDescent="0.35">
      <c r="A11" t="s">
        <v>9</v>
      </c>
      <c r="B11" s="10">
        <v>1039281.8498977105</v>
      </c>
      <c r="D11" t="s">
        <v>36</v>
      </c>
      <c r="E11">
        <v>2993242.1697404347</v>
      </c>
    </row>
    <row r="12" spans="1:5" x14ac:dyDescent="0.35">
      <c r="A12" t="s">
        <v>10</v>
      </c>
      <c r="B12" s="10">
        <v>2282754.1528176991</v>
      </c>
    </row>
    <row r="13" spans="1:5" x14ac:dyDescent="0.35">
      <c r="A13" t="s">
        <v>11</v>
      </c>
      <c r="B13" s="10">
        <v>4138987.3721308452</v>
      </c>
    </row>
    <row r="14" spans="1:5" x14ac:dyDescent="0.35">
      <c r="A14" t="s">
        <v>12</v>
      </c>
      <c r="B14" s="10">
        <v>6514730.8600102877</v>
      </c>
    </row>
    <row r="15" spans="1:5" x14ac:dyDescent="0.35">
      <c r="A15" t="s">
        <v>13</v>
      </c>
      <c r="B15" s="10">
        <v>8327312.382424714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98C9F-4E25-48BC-BCB2-B49D3890C335}">
  <sheetPr codeName="Sheet4"/>
  <dimension ref="A1:B32"/>
  <sheetViews>
    <sheetView topLeftCell="A5" zoomScale="64" workbookViewId="0">
      <selection activeCell="B12" sqref="B12"/>
    </sheetView>
  </sheetViews>
  <sheetFormatPr defaultRowHeight="14.5" x14ac:dyDescent="0.35"/>
  <cols>
    <col min="2" max="2" width="15.26953125" style="10" bestFit="1" customWidth="1"/>
  </cols>
  <sheetData>
    <row r="1" spans="1:2" x14ac:dyDescent="0.35">
      <c r="A1" t="s">
        <v>2</v>
      </c>
      <c r="B1" s="10" t="s">
        <v>19</v>
      </c>
    </row>
    <row r="2" spans="1:2" x14ac:dyDescent="0.35">
      <c r="A2">
        <v>0</v>
      </c>
      <c r="B2" s="10">
        <v>800000</v>
      </c>
    </row>
    <row r="3" spans="1:2" x14ac:dyDescent="0.35">
      <c r="A3">
        <v>1</v>
      </c>
      <c r="B3" s="10">
        <v>715304.52912779688</v>
      </c>
    </row>
    <row r="4" spans="1:2" x14ac:dyDescent="0.35">
      <c r="A4">
        <v>2</v>
      </c>
      <c r="B4" s="10">
        <v>619811.34133718116</v>
      </c>
    </row>
    <row r="5" spans="1:2" x14ac:dyDescent="0.35">
      <c r="A5">
        <v>3</v>
      </c>
      <c r="B5" s="10">
        <v>671687.17741360434</v>
      </c>
    </row>
    <row r="6" spans="1:2" x14ac:dyDescent="0.35">
      <c r="A6">
        <v>4</v>
      </c>
      <c r="B6" s="10">
        <v>674894.28837928758</v>
      </c>
    </row>
    <row r="7" spans="1:2" x14ac:dyDescent="0.35">
      <c r="A7">
        <v>5</v>
      </c>
      <c r="B7" s="10">
        <v>650382.63525977253</v>
      </c>
    </row>
    <row r="8" spans="1:2" x14ac:dyDescent="0.35">
      <c r="A8">
        <v>6</v>
      </c>
      <c r="B8" s="10">
        <v>752749.52791818965</v>
      </c>
    </row>
    <row r="9" spans="1:2" x14ac:dyDescent="0.35">
      <c r="A9">
        <v>7</v>
      </c>
      <c r="B9" s="10">
        <v>743285.54532223695</v>
      </c>
    </row>
    <row r="10" spans="1:2" x14ac:dyDescent="0.35">
      <c r="A10">
        <v>8</v>
      </c>
      <c r="B10" s="10">
        <v>723318.3205515095</v>
      </c>
    </row>
    <row r="11" spans="1:2" x14ac:dyDescent="0.35">
      <c r="A11">
        <v>9</v>
      </c>
      <c r="B11" s="10">
        <v>782677.80878312048</v>
      </c>
    </row>
    <row r="12" spans="1:2" x14ac:dyDescent="0.35">
      <c r="A12">
        <v>10</v>
      </c>
      <c r="B12" s="10">
        <v>729420.24776601093</v>
      </c>
    </row>
    <row r="13" spans="1:2" x14ac:dyDescent="0.35">
      <c r="A13">
        <v>11</v>
      </c>
      <c r="B13" s="10">
        <v>684647.89583664283</v>
      </c>
    </row>
    <row r="14" spans="1:2" x14ac:dyDescent="0.35">
      <c r="A14">
        <v>12</v>
      </c>
      <c r="B14" s="10">
        <v>864762.64831708034</v>
      </c>
    </row>
    <row r="15" spans="1:2" x14ac:dyDescent="0.35">
      <c r="A15">
        <v>13</v>
      </c>
      <c r="B15" s="10">
        <v>859604.45946648088</v>
      </c>
    </row>
    <row r="16" spans="1:2" x14ac:dyDescent="0.35">
      <c r="A16">
        <v>14</v>
      </c>
      <c r="B16" s="10">
        <v>1086422.0058399802</v>
      </c>
    </row>
    <row r="17" spans="1:2" x14ac:dyDescent="0.35">
      <c r="A17">
        <v>15</v>
      </c>
      <c r="B17" s="10">
        <v>1282864.562296683</v>
      </c>
    </row>
    <row r="18" spans="1:2" x14ac:dyDescent="0.35">
      <c r="A18">
        <v>16</v>
      </c>
      <c r="B18" s="10">
        <v>1213833.5038806964</v>
      </c>
    </row>
    <row r="19" spans="1:2" x14ac:dyDescent="0.35">
      <c r="A19">
        <v>17</v>
      </c>
      <c r="B19" s="10">
        <v>1241432.3803121629</v>
      </c>
    </row>
    <row r="20" spans="1:2" x14ac:dyDescent="0.35">
      <c r="A20">
        <v>18</v>
      </c>
      <c r="B20" s="10">
        <v>1370292.8407301519</v>
      </c>
    </row>
    <row r="21" spans="1:2" x14ac:dyDescent="0.35">
      <c r="A21">
        <v>19</v>
      </c>
      <c r="B21" s="10">
        <v>1601122.090046721</v>
      </c>
    </row>
    <row r="22" spans="1:2" x14ac:dyDescent="0.35">
      <c r="A22">
        <v>20</v>
      </c>
      <c r="B22" s="10">
        <v>1582408.6727504814</v>
      </c>
    </row>
    <row r="23" spans="1:2" x14ac:dyDescent="0.35">
      <c r="A23">
        <v>21</v>
      </c>
      <c r="B23" s="10">
        <v>1207750.4041344055</v>
      </c>
    </row>
    <row r="24" spans="1:2" x14ac:dyDescent="0.35">
      <c r="A24">
        <v>22</v>
      </c>
      <c r="B24" s="10">
        <v>1358080.3239958221</v>
      </c>
    </row>
    <row r="25" spans="1:2" x14ac:dyDescent="0.35">
      <c r="A25">
        <v>23</v>
      </c>
      <c r="B25" s="10">
        <v>1309469.9923587784</v>
      </c>
    </row>
    <row r="26" spans="1:2" x14ac:dyDescent="0.35">
      <c r="A26">
        <v>24</v>
      </c>
      <c r="B26" s="10">
        <v>1195919.9124420357</v>
      </c>
    </row>
    <row r="27" spans="1:2" x14ac:dyDescent="0.35">
      <c r="A27">
        <v>25</v>
      </c>
      <c r="B27" s="10">
        <v>1082645.3396738612</v>
      </c>
    </row>
    <row r="28" spans="1:2" x14ac:dyDescent="0.35">
      <c r="A28">
        <v>26</v>
      </c>
      <c r="B28" s="10">
        <v>912176.03221916151</v>
      </c>
    </row>
    <row r="29" spans="1:2" x14ac:dyDescent="0.35">
      <c r="A29">
        <v>27</v>
      </c>
      <c r="B29" s="10">
        <v>1100159.327496591</v>
      </c>
    </row>
    <row r="30" spans="1:2" x14ac:dyDescent="0.35">
      <c r="A30">
        <v>28</v>
      </c>
      <c r="B30" s="10">
        <v>1267773.9779577439</v>
      </c>
    </row>
    <row r="31" spans="1:2" x14ac:dyDescent="0.35">
      <c r="A31">
        <v>29</v>
      </c>
      <c r="B31" s="10">
        <v>1190553.7312343034</v>
      </c>
    </row>
    <row r="32" spans="1:2" x14ac:dyDescent="0.35">
      <c r="A32">
        <v>30</v>
      </c>
      <c r="B32" s="10">
        <v>1221443.1010433503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BA923-C60D-4C2B-B98D-C7FCFB1A61B5}">
  <sheetPr codeName="Sheet5"/>
  <dimension ref="A1:B12"/>
  <sheetViews>
    <sheetView zoomScale="56" workbookViewId="0"/>
  </sheetViews>
  <sheetFormatPr defaultRowHeight="14.5" x14ac:dyDescent="0.35"/>
  <cols>
    <col min="1" max="1" width="17.6328125" bestFit="1" customWidth="1"/>
    <col min="2" max="2" width="22" bestFit="1" customWidth="1"/>
  </cols>
  <sheetData>
    <row r="1" spans="1:2" x14ac:dyDescent="0.35">
      <c r="A1" t="s">
        <v>21</v>
      </c>
      <c r="B1" t="s">
        <v>1</v>
      </c>
    </row>
    <row r="2" spans="1:2" x14ac:dyDescent="0.35">
      <c r="A2" s="10" t="s">
        <v>22</v>
      </c>
      <c r="B2">
        <v>2422</v>
      </c>
    </row>
    <row r="3" spans="1:2" x14ac:dyDescent="0.35">
      <c r="A3" s="10" t="s">
        <v>23</v>
      </c>
      <c r="B3">
        <v>2057</v>
      </c>
    </row>
    <row r="4" spans="1:2" x14ac:dyDescent="0.35">
      <c r="A4" s="10" t="s">
        <v>24</v>
      </c>
      <c r="B4">
        <v>1644</v>
      </c>
    </row>
    <row r="5" spans="1:2" x14ac:dyDescent="0.35">
      <c r="A5" s="10" t="s">
        <v>25</v>
      </c>
      <c r="B5">
        <v>1236</v>
      </c>
    </row>
    <row r="6" spans="1:2" x14ac:dyDescent="0.35">
      <c r="A6" s="10" t="s">
        <v>26</v>
      </c>
      <c r="B6">
        <v>872</v>
      </c>
    </row>
    <row r="7" spans="1:2" x14ac:dyDescent="0.35">
      <c r="A7" s="10" t="s">
        <v>27</v>
      </c>
      <c r="B7">
        <v>561</v>
      </c>
    </row>
    <row r="8" spans="1:2" x14ac:dyDescent="0.35">
      <c r="A8" s="10" t="s">
        <v>28</v>
      </c>
      <c r="B8">
        <v>364</v>
      </c>
    </row>
    <row r="9" spans="1:2" x14ac:dyDescent="0.35">
      <c r="A9" s="10" t="s">
        <v>29</v>
      </c>
      <c r="B9">
        <v>270</v>
      </c>
    </row>
    <row r="10" spans="1:2" x14ac:dyDescent="0.35">
      <c r="A10" s="10" t="s">
        <v>30</v>
      </c>
      <c r="B10">
        <v>187</v>
      </c>
    </row>
    <row r="11" spans="1:2" x14ac:dyDescent="0.35">
      <c r="A11" s="10" t="s">
        <v>31</v>
      </c>
      <c r="B11">
        <v>113</v>
      </c>
    </row>
    <row r="12" spans="1:2" x14ac:dyDescent="0.35">
      <c r="A12" t="s">
        <v>20</v>
      </c>
      <c r="B12">
        <v>274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HistoricalData</vt:lpstr>
      <vt:lpstr>Results</vt:lpstr>
      <vt:lpstr>First Simulation Path</vt:lpstr>
      <vt:lpstr>Outcome 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Milo</dc:creator>
  <cp:lastModifiedBy>Milo Schoenen</cp:lastModifiedBy>
  <dcterms:created xsi:type="dcterms:W3CDTF">2015-06-05T18:17:20Z</dcterms:created>
  <dcterms:modified xsi:type="dcterms:W3CDTF">2026-05-10T21:34:18Z</dcterms:modified>
</cp:coreProperties>
</file>